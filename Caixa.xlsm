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ãoDias\Desktop\ps\app-escritorio\"/>
    </mc:Choice>
  </mc:AlternateContent>
  <xr:revisionPtr revIDLastSave="0" documentId="8_{80D12BF5-7B14-4C5F-B8E5-D1CDEB814E29}" xr6:coauthVersionLast="47" xr6:coauthVersionMax="47" xr10:uidLastSave="{00000000-0000-0000-0000-000000000000}"/>
  <bookViews>
    <workbookView xWindow="20370" yWindow="-4680" windowWidth="38640" windowHeight="15840" tabRatio="626" activeTab="70" xr2:uid="{00000000-000D-0000-FFFF-FFFF00000000}"/>
  </bookViews>
  <sheets>
    <sheet name="MARÇO-16" sheetId="1" r:id="rId1"/>
    <sheet name="ABRIL-16" sheetId="6" r:id="rId2"/>
    <sheet name="MAIO-16" sheetId="7" r:id="rId3"/>
    <sheet name="JUNHO-16" sheetId="8" r:id="rId4"/>
    <sheet name="Julho-16" sheetId="10" r:id="rId5"/>
    <sheet name="Agosto-16" sheetId="11" r:id="rId6"/>
    <sheet name="Setembro-16" sheetId="12" r:id="rId7"/>
    <sheet name="Outubro-16" sheetId="13" r:id="rId8"/>
    <sheet name="Novembro-16" sheetId="14" r:id="rId9"/>
    <sheet name="Dezembro-16" sheetId="15" r:id="rId10"/>
    <sheet name="Janeiro-17" sheetId="16" r:id="rId11"/>
    <sheet name="Fevereiro-17" sheetId="17" r:id="rId12"/>
    <sheet name="Março-17" sheetId="18" r:id="rId13"/>
    <sheet name="Abril-17" sheetId="19" r:id="rId14"/>
    <sheet name="Maio-17" sheetId="20" r:id="rId15"/>
    <sheet name="Junho-17" sheetId="21" r:id="rId16"/>
    <sheet name="Julho-17" sheetId="22" r:id="rId17"/>
    <sheet name="Agosto-17" sheetId="23" r:id="rId18"/>
    <sheet name="Setembro-17" sheetId="24" r:id="rId19"/>
    <sheet name="Outubro-17" sheetId="25" r:id="rId20"/>
    <sheet name="Novembro-17" sheetId="26" r:id="rId21"/>
    <sheet name="Dezembro-17" sheetId="27" r:id="rId22"/>
    <sheet name="Janeiro-18" sheetId="28" r:id="rId23"/>
    <sheet name="Fevereiro-18" sheetId="29" r:id="rId24"/>
    <sheet name="Março-18" sheetId="30" r:id="rId25"/>
    <sheet name="Abril-18" sheetId="31" r:id="rId26"/>
    <sheet name="Maio-18" sheetId="32" r:id="rId27"/>
    <sheet name="Junho-18" sheetId="33" r:id="rId28"/>
    <sheet name="Julho-18" sheetId="34" r:id="rId29"/>
    <sheet name="Agosto-18" sheetId="35" r:id="rId30"/>
    <sheet name="Setembro-18" sheetId="36" r:id="rId31"/>
    <sheet name="Outubro-18" sheetId="37" r:id="rId32"/>
    <sheet name="Novembro-18" sheetId="38" r:id="rId33"/>
    <sheet name="Dezembro-18" sheetId="39" r:id="rId34"/>
    <sheet name="Janeiro-19" sheetId="40" r:id="rId35"/>
    <sheet name="Fevereiro-19" sheetId="41" r:id="rId36"/>
    <sheet name="Março-19" sheetId="42" r:id="rId37"/>
    <sheet name="Abril-19" sheetId="43" r:id="rId38"/>
    <sheet name="Maio-19" sheetId="44" r:id="rId39"/>
    <sheet name="Junho-19" sheetId="45" r:id="rId40"/>
    <sheet name="Julho-19" sheetId="46" r:id="rId41"/>
    <sheet name="Agosto-19" sheetId="47" r:id="rId42"/>
    <sheet name="Setembro-19" sheetId="48" r:id="rId43"/>
    <sheet name="Outubro-19" sheetId="49" r:id="rId44"/>
    <sheet name="Novembro-19" sheetId="50" r:id="rId45"/>
    <sheet name="Dezembro-19" sheetId="51" r:id="rId46"/>
    <sheet name="Janeiro-20" sheetId="52" r:id="rId47"/>
    <sheet name="Fevereiro-20" sheetId="53" r:id="rId48"/>
    <sheet name="Março-20" sheetId="54" r:id="rId49"/>
    <sheet name="Abril-20" sheetId="55" r:id="rId50"/>
    <sheet name="Maio-20" sheetId="56" r:id="rId51"/>
    <sheet name="Junho-20" sheetId="57" r:id="rId52"/>
    <sheet name="Julho-20" sheetId="58" r:id="rId53"/>
    <sheet name="Agosto-20" sheetId="59" r:id="rId54"/>
    <sheet name="Setembro-20" sheetId="60" r:id="rId55"/>
    <sheet name="Outubro-20" sheetId="61" r:id="rId56"/>
    <sheet name="Novembro-20" sheetId="62" r:id="rId57"/>
    <sheet name="Dezembro-20" sheetId="63" r:id="rId58"/>
    <sheet name="Janeiro-21" sheetId="64" r:id="rId59"/>
    <sheet name="Fevereiro-21" sheetId="65" r:id="rId60"/>
    <sheet name="Março-21" sheetId="67" r:id="rId61"/>
    <sheet name="Abril-21" sheetId="69" r:id="rId62"/>
    <sheet name="Maio-21" sheetId="71" r:id="rId63"/>
    <sheet name="Junho-21" sheetId="72" r:id="rId64"/>
    <sheet name="Julho-21" sheetId="73" r:id="rId65"/>
    <sheet name="Agosto-21" sheetId="75" r:id="rId66"/>
    <sheet name="Setembro-21" sheetId="76" r:id="rId67"/>
    <sheet name="Outubro-21" sheetId="77" r:id="rId68"/>
    <sheet name="Novembro-21" sheetId="78" r:id="rId69"/>
    <sheet name="Dezembro-21" sheetId="79" r:id="rId70"/>
    <sheet name="Janeiro-22" sheetId="80" r:id="rId71"/>
    <sheet name="Fevereiro-22" sheetId="81" r:id="rId72"/>
    <sheet name="Março-22" sheetId="82" r:id="rId73"/>
    <sheet name="Abril-22" sheetId="84" r:id="rId74"/>
    <sheet name="Maio-22" sheetId="85" r:id="rId75"/>
    <sheet name="Junho-22" sheetId="86" r:id="rId76"/>
  </sheets>
  <definedNames>
    <definedName name="_xlnm.Print_Area" localSheetId="0">'MARÇO-16'!$A$1:$L$32</definedName>
  </definedNames>
  <calcPr calcId="181029"/>
</workbook>
</file>

<file path=xl/calcChain.xml><?xml version="1.0" encoding="utf-8"?>
<calcChain xmlns="http://schemas.openxmlformats.org/spreadsheetml/2006/main">
  <c r="F32" i="86" l="1"/>
  <c r="E19" i="86"/>
  <c r="I30" i="86"/>
  <c r="B3" i="86" s="1"/>
  <c r="E16" i="86"/>
  <c r="E10" i="86"/>
  <c r="E23" i="85"/>
  <c r="M43" i="86"/>
  <c r="M42" i="86"/>
  <c r="M44" i="86"/>
  <c r="I70" i="86" l="1"/>
  <c r="B5" i="86"/>
  <c r="B7" i="86" s="1"/>
  <c r="B11" i="86" s="1"/>
  <c r="E17" i="85"/>
  <c r="B20" i="86" l="1"/>
  <c r="B19" i="86"/>
  <c r="I43" i="85"/>
  <c r="F46" i="85" l="1"/>
  <c r="I28" i="85"/>
  <c r="B3" i="85" s="1"/>
  <c r="E33" i="85"/>
  <c r="I38" i="85" s="1"/>
  <c r="E25" i="85"/>
  <c r="E19" i="85"/>
  <c r="E14" i="84"/>
  <c r="M40" i="85"/>
  <c r="M41" i="85"/>
  <c r="M42" i="85"/>
  <c r="I70" i="85" l="1"/>
  <c r="B5" i="85"/>
  <c r="B7" i="85" s="1"/>
  <c r="B11" i="85" s="1"/>
  <c r="B19" i="85" s="1"/>
  <c r="B34" i="85" s="1"/>
  <c r="B36" i="85" s="1"/>
  <c r="P8" i="79"/>
  <c r="B20" i="85" l="1"/>
  <c r="B25" i="85" l="1"/>
  <c r="B32" i="85" s="1"/>
  <c r="E59" i="82"/>
  <c r="E14" i="82"/>
  <c r="F36" i="84" l="1"/>
  <c r="C28" i="84"/>
  <c r="I30" i="84"/>
  <c r="B3" i="84" s="1"/>
  <c r="E23" i="84"/>
  <c r="I40" i="84" s="1"/>
  <c r="E16" i="84"/>
  <c r="E11" i="84"/>
  <c r="D26" i="84"/>
  <c r="D27" i="84"/>
  <c r="M44" i="84"/>
  <c r="M43" i="84"/>
  <c r="M42" i="84"/>
  <c r="D28" i="84" l="1"/>
  <c r="E26" i="84"/>
  <c r="E27" i="84"/>
  <c r="I72" i="84"/>
  <c r="B5" i="84"/>
  <c r="B7" i="84" s="1"/>
  <c r="B11" i="84" s="1"/>
  <c r="E28" i="84" l="1"/>
  <c r="B20" i="84"/>
  <c r="B19" i="84"/>
  <c r="C37" i="78" l="1"/>
  <c r="C36" i="79" s="1"/>
  <c r="C36" i="80" s="1"/>
  <c r="C36" i="81" s="1"/>
  <c r="C34" i="86" l="1"/>
  <c r="C36" i="82"/>
  <c r="C34" i="85"/>
  <c r="C36" i="84"/>
  <c r="A31" i="81"/>
  <c r="A32" i="81" s="1"/>
  <c r="A33" i="81" s="1"/>
  <c r="A34" i="81" s="1"/>
  <c r="F36" i="82" l="1"/>
  <c r="C28" i="82"/>
  <c r="I27" i="82"/>
  <c r="B3" i="82" s="1"/>
  <c r="E23" i="82"/>
  <c r="I37" i="82" s="1"/>
  <c r="E16" i="82"/>
  <c r="E11" i="82"/>
  <c r="M40" i="82"/>
  <c r="M41" i="82"/>
  <c r="D26" i="82"/>
  <c r="M39" i="82"/>
  <c r="D27" i="82"/>
  <c r="D28" i="82" l="1"/>
  <c r="E26" i="82"/>
  <c r="E27" i="82"/>
  <c r="I72" i="82"/>
  <c r="B5" i="82"/>
  <c r="E14" i="80"/>
  <c r="B7" i="82" l="1"/>
  <c r="B11" i="82" s="1"/>
  <c r="B20" i="82"/>
  <c r="A32" i="82" s="1"/>
  <c r="A35" i="82" s="1"/>
  <c r="B19" i="82"/>
  <c r="E28" i="82"/>
  <c r="A29" i="80"/>
  <c r="F36" i="81"/>
  <c r="C28" i="81"/>
  <c r="I27" i="81"/>
  <c r="B3" i="81" s="1"/>
  <c r="E23" i="81"/>
  <c r="I37" i="81" s="1"/>
  <c r="E16" i="81"/>
  <c r="E11" i="81"/>
  <c r="D26" i="81"/>
  <c r="M41" i="81"/>
  <c r="M40" i="81"/>
  <c r="D27" i="81"/>
  <c r="M39" i="81"/>
  <c r="D28" i="81" l="1"/>
  <c r="E26" i="81"/>
  <c r="E27" i="81"/>
  <c r="I70" i="81"/>
  <c r="B5" i="81"/>
  <c r="I54" i="80"/>
  <c r="M40" i="80"/>
  <c r="B7" i="81" l="1"/>
  <c r="B11" i="81" s="1"/>
  <c r="B20" i="81" s="1"/>
  <c r="E28" i="81"/>
  <c r="F36" i="80"/>
  <c r="B19" i="81" l="1"/>
  <c r="A35" i="81" s="1"/>
  <c r="A37" i="81"/>
  <c r="C28" i="80"/>
  <c r="I27" i="80"/>
  <c r="B3" i="80" s="1"/>
  <c r="E23" i="80"/>
  <c r="I37" i="80" s="1"/>
  <c r="E16" i="80"/>
  <c r="E11" i="80"/>
  <c r="F36" i="79"/>
  <c r="F37" i="78"/>
  <c r="E14" i="79"/>
  <c r="I48" i="79"/>
  <c r="D26" i="80"/>
  <c r="M41" i="80"/>
  <c r="M39" i="80"/>
  <c r="D27" i="80"/>
  <c r="D28" i="80" l="1"/>
  <c r="E26" i="80"/>
  <c r="E27" i="80"/>
  <c r="I72" i="80"/>
  <c r="B5" i="80"/>
  <c r="E8" i="79"/>
  <c r="B7" i="80" l="1"/>
  <c r="B11" i="80" s="1"/>
  <c r="E28" i="80"/>
  <c r="B20" i="80"/>
  <c r="B19" i="80"/>
  <c r="A31" i="80" s="1"/>
  <c r="A32" i="80" s="1"/>
  <c r="A33" i="80" s="1"/>
  <c r="C37" i="77"/>
  <c r="F37" i="77"/>
  <c r="I47" i="78" l="1"/>
  <c r="I22" i="78" l="1"/>
  <c r="C28" i="79"/>
  <c r="I27" i="79"/>
  <c r="B3" i="79" s="1"/>
  <c r="E23" i="79"/>
  <c r="I37" i="79" s="1"/>
  <c r="E16" i="79"/>
  <c r="E11" i="79"/>
  <c r="D26" i="79"/>
  <c r="M39" i="79"/>
  <c r="M40" i="79"/>
  <c r="D27" i="79"/>
  <c r="M41" i="79"/>
  <c r="E27" i="79" l="1"/>
  <c r="D28" i="79"/>
  <c r="E26" i="79"/>
  <c r="I72" i="79"/>
  <c r="B5" i="79"/>
  <c r="C28" i="78"/>
  <c r="I27" i="78"/>
  <c r="B3" i="78" s="1"/>
  <c r="E23" i="78"/>
  <c r="I37" i="78" s="1"/>
  <c r="E16" i="78"/>
  <c r="E11" i="78"/>
  <c r="E15" i="76"/>
  <c r="C57" i="77"/>
  <c r="E13" i="77"/>
  <c r="M40" i="78"/>
  <c r="D26" i="78"/>
  <c r="M39" i="78"/>
  <c r="D27" i="78"/>
  <c r="M41" i="78"/>
  <c r="B7" i="79" l="1"/>
  <c r="B11" i="79" s="1"/>
  <c r="E28" i="79"/>
  <c r="B20" i="79"/>
  <c r="B19" i="79"/>
  <c r="E27" i="78"/>
  <c r="E26" i="78"/>
  <c r="D28" i="78"/>
  <c r="I72" i="78"/>
  <c r="B5" i="78"/>
  <c r="F38" i="76"/>
  <c r="F37" i="75"/>
  <c r="F46" i="73"/>
  <c r="F37" i="72"/>
  <c r="F37" i="71"/>
  <c r="F36" i="69"/>
  <c r="F41" i="67"/>
  <c r="E39" i="65"/>
  <c r="F37" i="64"/>
  <c r="F38" i="63"/>
  <c r="F39" i="62"/>
  <c r="F39" i="61"/>
  <c r="B7" i="78" l="1"/>
  <c r="B11" i="78" s="1"/>
  <c r="B19" i="78" s="1"/>
  <c r="D37" i="77"/>
  <c r="B20" i="78"/>
  <c r="E28" i="78"/>
  <c r="E8" i="77"/>
  <c r="C28" i="77" l="1"/>
  <c r="I27" i="77"/>
  <c r="B3" i="77" s="1"/>
  <c r="E23" i="77"/>
  <c r="I37" i="77" s="1"/>
  <c r="E16" i="77"/>
  <c r="E11" i="77"/>
  <c r="G4" i="77"/>
  <c r="M41" i="77"/>
  <c r="D26" i="77"/>
  <c r="M40" i="77"/>
  <c r="M39" i="77"/>
  <c r="D27" i="77"/>
  <c r="D28" i="77" l="1"/>
  <c r="E26" i="77"/>
  <c r="E27" i="77"/>
  <c r="I74" i="77"/>
  <c r="B5" i="77"/>
  <c r="E15" i="75"/>
  <c r="C28" i="76"/>
  <c r="I27" i="76"/>
  <c r="B3" i="76" s="1"/>
  <c r="E23" i="76"/>
  <c r="I37" i="76" s="1"/>
  <c r="E16" i="76"/>
  <c r="E11" i="76"/>
  <c r="M41" i="76"/>
  <c r="M42" i="76"/>
  <c r="D26" i="76"/>
  <c r="D27" i="76"/>
  <c r="G4" i="76"/>
  <c r="M39" i="76"/>
  <c r="M40" i="76"/>
  <c r="B7" i="77" l="1"/>
  <c r="B11" i="77" s="1"/>
  <c r="B19" i="77" s="1"/>
  <c r="B20" i="77"/>
  <c r="E28" i="77"/>
  <c r="D28" i="76"/>
  <c r="E26" i="76"/>
  <c r="E27" i="76"/>
  <c r="I77" i="76"/>
  <c r="B5" i="76"/>
  <c r="C28" i="75"/>
  <c r="E23" i="75"/>
  <c r="I37" i="75" s="1"/>
  <c r="I27" i="75"/>
  <c r="B3" i="75" s="1"/>
  <c r="E16" i="75"/>
  <c r="E11" i="75"/>
  <c r="I65" i="73"/>
  <c r="D27" i="75"/>
  <c r="M43" i="75"/>
  <c r="M41" i="75"/>
  <c r="G4" i="75"/>
  <c r="M40" i="75"/>
  <c r="D26" i="75"/>
  <c r="M42" i="75"/>
  <c r="B7" i="76" l="1"/>
  <c r="B11" i="76" s="1"/>
  <c r="B19" i="76" s="1"/>
  <c r="B20" i="76"/>
  <c r="E28" i="76"/>
  <c r="E27" i="75"/>
  <c r="E26" i="75"/>
  <c r="D28" i="75"/>
  <c r="I79" i="75"/>
  <c r="B5" i="75"/>
  <c r="M43" i="73"/>
  <c r="M41" i="73"/>
  <c r="M40" i="73"/>
  <c r="B7" i="75" l="1"/>
  <c r="B11" i="75" s="1"/>
  <c r="B19" i="75" s="1"/>
  <c r="E28" i="75"/>
  <c r="B20" i="75"/>
  <c r="E37" i="73" l="1"/>
  <c r="I37" i="73" s="1"/>
  <c r="C42" i="73"/>
  <c r="M42" i="73"/>
  <c r="D41" i="73"/>
  <c r="D40" i="73"/>
  <c r="B5" i="73" l="1"/>
  <c r="I79" i="73"/>
  <c r="D42" i="73"/>
  <c r="E40" i="73"/>
  <c r="E41" i="73"/>
  <c r="I27" i="73"/>
  <c r="B3" i="73" s="1"/>
  <c r="E16" i="73"/>
  <c r="E11" i="73"/>
  <c r="G4" i="73"/>
  <c r="E42" i="73" l="1"/>
  <c r="B7" i="73"/>
  <c r="B11" i="73" s="1"/>
  <c r="B19" i="73" s="1"/>
  <c r="F32" i="72"/>
  <c r="I27" i="72"/>
  <c r="B3" i="72" s="1"/>
  <c r="E27" i="72"/>
  <c r="I37" i="72" s="1"/>
  <c r="E20" i="72"/>
  <c r="E11" i="72"/>
  <c r="M43" i="72"/>
  <c r="G30" i="72"/>
  <c r="G4" i="72"/>
  <c r="G31" i="72"/>
  <c r="M40" i="72"/>
  <c r="M41" i="72"/>
  <c r="M42" i="72"/>
  <c r="B20" i="73" l="1"/>
  <c r="H30" i="72"/>
  <c r="G32" i="72"/>
  <c r="H31" i="72"/>
  <c r="I79" i="72"/>
  <c r="B5" i="72"/>
  <c r="E16" i="71"/>
  <c r="B7" i="72" l="1"/>
  <c r="B11" i="72" s="1"/>
  <c r="B19" i="72" s="1"/>
  <c r="H32" i="72"/>
  <c r="B20" i="72"/>
  <c r="E27" i="71"/>
  <c r="I37" i="71" s="1"/>
  <c r="I28" i="69" l="1"/>
  <c r="B3" i="69" s="1"/>
  <c r="E15" i="69"/>
  <c r="G30" i="71"/>
  <c r="I79" i="71" l="1"/>
  <c r="F32" i="71"/>
  <c r="I27" i="71"/>
  <c r="B3" i="71" s="1"/>
  <c r="E20" i="71"/>
  <c r="E11" i="71"/>
  <c r="B5" i="71"/>
  <c r="G31" i="71"/>
  <c r="M43" i="71"/>
  <c r="M40" i="71"/>
  <c r="M42" i="71"/>
  <c r="M41" i="71"/>
  <c r="G4" i="71"/>
  <c r="H31" i="71" l="1"/>
  <c r="B7" i="71"/>
  <c r="B11" i="71" s="1"/>
  <c r="B19" i="71" s="1"/>
  <c r="H30" i="71"/>
  <c r="G32" i="71"/>
  <c r="I79" i="69"/>
  <c r="F32" i="69"/>
  <c r="B7" i="69"/>
  <c r="E24" i="69"/>
  <c r="B5" i="69"/>
  <c r="G30" i="69"/>
  <c r="M42" i="69"/>
  <c r="M40" i="69"/>
  <c r="G4" i="69"/>
  <c r="M43" i="69"/>
  <c r="G31" i="69"/>
  <c r="M41" i="69"/>
  <c r="B20" i="71" l="1"/>
  <c r="B21" i="71" s="1"/>
  <c r="H32" i="71"/>
  <c r="H30" i="69"/>
  <c r="B11" i="69"/>
  <c r="B19" i="69" s="1"/>
  <c r="G32" i="69"/>
  <c r="H31" i="69"/>
  <c r="I79" i="67"/>
  <c r="I27" i="67"/>
  <c r="M42" i="67"/>
  <c r="B20" i="69" l="1"/>
  <c r="H32" i="69"/>
  <c r="I27" i="65" l="1"/>
  <c r="B5" i="65"/>
  <c r="M42" i="65"/>
  <c r="M40" i="65"/>
  <c r="M43" i="65"/>
  <c r="M41" i="65"/>
  <c r="D37" i="67" l="1"/>
  <c r="B3" i="67"/>
  <c r="E24" i="67"/>
  <c r="E15" i="67"/>
  <c r="B5" i="67"/>
  <c r="M43" i="67"/>
  <c r="E35" i="67"/>
  <c r="G4" i="67"/>
  <c r="E36" i="67"/>
  <c r="M40" i="67"/>
  <c r="M41" i="67"/>
  <c r="F36" i="67" l="1"/>
  <c r="B7" i="67"/>
  <c r="B11" i="67" s="1"/>
  <c r="B20" i="67" s="1"/>
  <c r="F35" i="67"/>
  <c r="E37" i="67"/>
  <c r="E24" i="65"/>
  <c r="E15" i="65"/>
  <c r="E28" i="65"/>
  <c r="E27" i="65"/>
  <c r="B19" i="67" l="1"/>
  <c r="F27" i="65"/>
  <c r="F37" i="67"/>
  <c r="F28" i="65"/>
  <c r="D29" i="65"/>
  <c r="B3" i="65" l="1"/>
  <c r="B5" i="64"/>
  <c r="E29" i="65" l="1"/>
  <c r="B7" i="65"/>
  <c r="B11" i="65" s="1"/>
  <c r="L83" i="64"/>
  <c r="B19" i="65" l="1"/>
  <c r="B20" i="65"/>
  <c r="F29" i="65"/>
  <c r="B5" i="63"/>
  <c r="I27" i="64" l="1"/>
  <c r="B3" i="64" s="1"/>
  <c r="E25" i="64"/>
  <c r="B7" i="64" l="1"/>
  <c r="B11" i="64" s="1"/>
  <c r="B20" i="64" s="1"/>
  <c r="I27" i="63"/>
  <c r="B3" i="63" s="1"/>
  <c r="E25" i="63"/>
  <c r="B19" i="64" l="1"/>
  <c r="B7" i="63"/>
  <c r="B11" i="63" s="1"/>
  <c r="B20" i="63" s="1"/>
  <c r="B5" i="62"/>
  <c r="B19" i="63" l="1"/>
  <c r="I27" i="62"/>
  <c r="B3" i="62" s="1"/>
  <c r="E25" i="62"/>
  <c r="B7" i="62" l="1"/>
  <c r="B11" i="62" s="1"/>
  <c r="B20" i="62" s="1"/>
  <c r="I27" i="61"/>
  <c r="B3" i="61" s="1"/>
  <c r="E25" i="61"/>
  <c r="B5" i="61"/>
  <c r="B19" i="62" l="1"/>
  <c r="B7" i="61"/>
  <c r="B11" i="61" s="1"/>
  <c r="B19" i="61" s="1"/>
  <c r="I27" i="60"/>
  <c r="B3" i="60" s="1"/>
  <c r="E25" i="60"/>
  <c r="B5" i="60"/>
  <c r="B20" i="61" l="1"/>
  <c r="B7" i="60"/>
  <c r="B11" i="60" s="1"/>
  <c r="B20" i="60" s="1"/>
  <c r="I27" i="59"/>
  <c r="B3" i="59" s="1"/>
  <c r="E25" i="59"/>
  <c r="B5" i="59"/>
  <c r="B19" i="60" l="1"/>
  <c r="B7" i="59"/>
  <c r="B11" i="59" s="1"/>
  <c r="B19" i="59" s="1"/>
  <c r="I27" i="58"/>
  <c r="B3" i="58" s="1"/>
  <c r="E25" i="58"/>
  <c r="B5" i="58"/>
  <c r="B20" i="59" l="1"/>
  <c r="B7" i="58"/>
  <c r="B11" i="58" s="1"/>
  <c r="B20" i="58" s="1"/>
  <c r="I27" i="57"/>
  <c r="B3" i="57" s="1"/>
  <c r="E25" i="57"/>
  <c r="B5" i="57"/>
  <c r="B19" i="58" l="1"/>
  <c r="B7" i="57"/>
  <c r="B11" i="57" s="1"/>
  <c r="B19" i="57" s="1"/>
  <c r="I27" i="56"/>
  <c r="B3" i="56" s="1"/>
  <c r="E25" i="56"/>
  <c r="B5" i="56"/>
  <c r="B20" i="57" l="1"/>
  <c r="B7" i="56"/>
  <c r="B11" i="56" s="1"/>
  <c r="B20" i="56" s="1"/>
  <c r="I27" i="55"/>
  <c r="B3" i="55" s="1"/>
  <c r="E25" i="55"/>
  <c r="B5" i="55"/>
  <c r="B19" i="56" l="1"/>
  <c r="B7" i="55"/>
  <c r="B11" i="55" s="1"/>
  <c r="B19" i="55" s="1"/>
  <c r="I27" i="54"/>
  <c r="B3" i="54" s="1"/>
  <c r="E25" i="54"/>
  <c r="B5" i="54"/>
  <c r="B20" i="55" l="1"/>
  <c r="B7" i="54"/>
  <c r="B11" i="54" s="1"/>
  <c r="B20" i="54" s="1"/>
  <c r="I27" i="53"/>
  <c r="B3" i="53" s="1"/>
  <c r="E25" i="53"/>
  <c r="B5" i="53"/>
  <c r="B19" i="54" l="1"/>
  <c r="B7" i="53"/>
  <c r="B11" i="53" s="1"/>
  <c r="B20" i="53" s="1"/>
  <c r="I27" i="52"/>
  <c r="B3" i="52" s="1"/>
  <c r="E25" i="52"/>
  <c r="B5" i="52"/>
  <c r="B19" i="53" l="1"/>
  <c r="B7" i="52"/>
  <c r="B11" i="52" s="1"/>
  <c r="B19" i="52" s="1"/>
  <c r="I27" i="51"/>
  <c r="B3" i="51" s="1"/>
  <c r="E25" i="51"/>
  <c r="B5" i="51"/>
  <c r="B20" i="52" l="1"/>
  <c r="B7" i="51"/>
  <c r="B11" i="51" s="1"/>
  <c r="B20" i="51" s="1"/>
  <c r="I27" i="50"/>
  <c r="B3" i="50" s="1"/>
  <c r="E25" i="50"/>
  <c r="B5" i="50"/>
  <c r="B19" i="51" l="1"/>
  <c r="B7" i="50"/>
  <c r="B11" i="50" s="1"/>
  <c r="B20" i="50" s="1"/>
  <c r="I27" i="49"/>
  <c r="B3" i="49" s="1"/>
  <c r="E25" i="49"/>
  <c r="B5" i="49"/>
  <c r="B19" i="50" l="1"/>
  <c r="B7" i="49"/>
  <c r="B11" i="49" s="1"/>
  <c r="B19" i="49" s="1"/>
  <c r="H28" i="48"/>
  <c r="B3" i="48" s="1"/>
  <c r="E25" i="48"/>
  <c r="B5" i="48"/>
  <c r="B20" i="49" l="1"/>
  <c r="B7" i="48"/>
  <c r="B11" i="48" s="1"/>
  <c r="B20" i="48" s="1"/>
  <c r="H27" i="47"/>
  <c r="B3" i="47" s="1"/>
  <c r="E25" i="47"/>
  <c r="B5" i="47"/>
  <c r="B19" i="48" l="1"/>
  <c r="B7" i="47"/>
  <c r="B11" i="47" s="1"/>
  <c r="B20" i="47" s="1"/>
  <c r="B5" i="45"/>
  <c r="E25" i="46"/>
  <c r="E25" i="45"/>
  <c r="H27" i="46"/>
  <c r="B3" i="46" s="1"/>
  <c r="B5" i="46"/>
  <c r="B19" i="47" l="1"/>
  <c r="B7" i="46"/>
  <c r="B11" i="46" s="1"/>
  <c r="H26" i="45"/>
  <c r="B3" i="45" s="1"/>
  <c r="B20" i="46" l="1"/>
  <c r="B19" i="46"/>
  <c r="B7" i="45"/>
  <c r="B11" i="45" s="1"/>
  <c r="H26" i="44"/>
  <c r="B3" i="44" s="1"/>
  <c r="E25" i="44"/>
  <c r="E17" i="44"/>
  <c r="B5" i="44"/>
  <c r="B20" i="45" l="1"/>
  <c r="B19" i="45"/>
  <c r="B7" i="44"/>
  <c r="B11" i="44" s="1"/>
  <c r="B20" i="44" s="1"/>
  <c r="H26" i="43"/>
  <c r="B3" i="43" s="1"/>
  <c r="E25" i="43"/>
  <c r="E17" i="43"/>
  <c r="B5" i="43"/>
  <c r="B19" i="44" l="1"/>
  <c r="B7" i="43"/>
  <c r="B11" i="43" s="1"/>
  <c r="B20" i="43" s="1"/>
  <c r="H26" i="42"/>
  <c r="B3" i="42" s="1"/>
  <c r="E25" i="42"/>
  <c r="E17" i="42"/>
  <c r="B5" i="42"/>
  <c r="B19" i="43" l="1"/>
  <c r="B7" i="42"/>
  <c r="B11" i="42" s="1"/>
  <c r="B20" i="42" s="1"/>
  <c r="H21" i="41"/>
  <c r="B3" i="41" s="1"/>
  <c r="E25" i="41"/>
  <c r="E17" i="41"/>
  <c r="B5" i="41"/>
  <c r="B19" i="42" l="1"/>
  <c r="B7" i="41"/>
  <c r="B11" i="41" s="1"/>
  <c r="B20" i="41" s="1"/>
  <c r="H26" i="40"/>
  <c r="B3" i="40" s="1"/>
  <c r="E25" i="40"/>
  <c r="E17" i="40"/>
  <c r="B5" i="40"/>
  <c r="B19" i="41" l="1"/>
  <c r="B7" i="40"/>
  <c r="B11" i="40" s="1"/>
  <c r="B19" i="40" s="1"/>
  <c r="H26" i="39"/>
  <c r="B3" i="39" s="1"/>
  <c r="E25" i="39"/>
  <c r="E17" i="39"/>
  <c r="B5" i="39"/>
  <c r="B20" i="40" l="1"/>
  <c r="B7" i="39"/>
  <c r="B11" i="39" s="1"/>
  <c r="B20" i="39" s="1"/>
  <c r="H26" i="38"/>
  <c r="B3" i="38" s="1"/>
  <c r="E25" i="38"/>
  <c r="E17" i="38"/>
  <c r="B5" i="38"/>
  <c r="B19" i="39" l="1"/>
  <c r="B7" i="38"/>
  <c r="B11" i="38" s="1"/>
  <c r="B20" i="38" s="1"/>
  <c r="H26" i="37"/>
  <c r="B3" i="37" s="1"/>
  <c r="E25" i="37"/>
  <c r="E17" i="37"/>
  <c r="B5" i="37"/>
  <c r="B19" i="38" l="1"/>
  <c r="B7" i="37"/>
  <c r="B9" i="37" s="1"/>
  <c r="B11" i="37" s="1"/>
  <c r="H26" i="36"/>
  <c r="B3" i="36" s="1"/>
  <c r="E25" i="36"/>
  <c r="E17" i="36"/>
  <c r="B5" i="36"/>
  <c r="B20" i="37" l="1"/>
  <c r="B19" i="37"/>
  <c r="B7" i="36"/>
  <c r="B9" i="36" s="1"/>
  <c r="H26" i="35"/>
  <c r="B3" i="35" s="1"/>
  <c r="E25" i="35"/>
  <c r="E17" i="35"/>
  <c r="B5" i="35"/>
  <c r="B11" i="36" l="1"/>
  <c r="B20" i="36" s="1"/>
  <c r="B7" i="35"/>
  <c r="B9" i="35" s="1"/>
  <c r="B11" i="35" s="1"/>
  <c r="H26" i="34"/>
  <c r="B3" i="34" s="1"/>
  <c r="E25" i="34"/>
  <c r="E17" i="34"/>
  <c r="B5" i="34"/>
  <c r="B19" i="36" l="1"/>
  <c r="B20" i="35"/>
  <c r="B19" i="35"/>
  <c r="B7" i="34"/>
  <c r="B9" i="34" s="1"/>
  <c r="B11" i="34" s="1"/>
  <c r="H26" i="33"/>
  <c r="B3" i="33" s="1"/>
  <c r="E25" i="33"/>
  <c r="E17" i="33"/>
  <c r="B5" i="33"/>
  <c r="B20" i="34" l="1"/>
  <c r="B19" i="34"/>
  <c r="B7" i="33"/>
  <c r="B9" i="33" s="1"/>
  <c r="H26" i="32"/>
  <c r="B3" i="32" s="1"/>
  <c r="E25" i="32"/>
  <c r="E17" i="32"/>
  <c r="B5" i="32"/>
  <c r="B11" i="33" l="1"/>
  <c r="B19" i="33" s="1"/>
  <c r="B7" i="32"/>
  <c r="B9" i="32" s="1"/>
  <c r="B11" i="32" s="1"/>
  <c r="H26" i="31"/>
  <c r="B3" i="31" s="1"/>
  <c r="E25" i="31"/>
  <c r="E17" i="31"/>
  <c r="B5" i="31"/>
  <c r="B20" i="33" l="1"/>
  <c r="B20" i="32"/>
  <c r="B19" i="32"/>
  <c r="B7" i="31"/>
  <c r="B9" i="31" s="1"/>
  <c r="B11" i="31" s="1"/>
  <c r="H26" i="30"/>
  <c r="B3" i="30" s="1"/>
  <c r="E25" i="30"/>
  <c r="E17" i="30"/>
  <c r="B5" i="30"/>
  <c r="B20" i="31" l="1"/>
  <c r="B19" i="31"/>
  <c r="B7" i="30"/>
  <c r="B9" i="30" s="1"/>
  <c r="B11" i="30" s="1"/>
  <c r="H38" i="29"/>
  <c r="B3" i="29" s="1"/>
  <c r="E25" i="29"/>
  <c r="E17" i="29"/>
  <c r="B5" i="29"/>
  <c r="B20" i="30" l="1"/>
  <c r="B19" i="30"/>
  <c r="B7" i="29"/>
  <c r="B9" i="29" s="1"/>
  <c r="B11" i="29" s="1"/>
  <c r="H26" i="28"/>
  <c r="B3" i="28" s="1"/>
  <c r="E25" i="28"/>
  <c r="E17" i="28"/>
  <c r="B5" i="28"/>
  <c r="H33" i="27"/>
  <c r="B3" i="27" s="1"/>
  <c r="E25" i="27"/>
  <c r="E17" i="27"/>
  <c r="B5" i="27"/>
  <c r="B20" i="29" l="1"/>
  <c r="B19" i="29"/>
  <c r="B7" i="28"/>
  <c r="B9" i="28" s="1"/>
  <c r="B7" i="27"/>
  <c r="B9" i="27" s="1"/>
  <c r="H32" i="26"/>
  <c r="B3" i="26" s="1"/>
  <c r="E25" i="26"/>
  <c r="E17" i="26"/>
  <c r="B5" i="26"/>
  <c r="B11" i="28" l="1"/>
  <c r="B20" i="28" s="1"/>
  <c r="B11" i="27"/>
  <c r="B20" i="27" s="1"/>
  <c r="B7" i="26"/>
  <c r="B9" i="26" s="1"/>
  <c r="B11" i="26" s="1"/>
  <c r="H29" i="25"/>
  <c r="B3" i="25" s="1"/>
  <c r="E25" i="25"/>
  <c r="E17" i="25"/>
  <c r="B5" i="25"/>
  <c r="B19" i="28" l="1"/>
  <c r="B19" i="27"/>
  <c r="B20" i="26"/>
  <c r="B19" i="26"/>
  <c r="B7" i="25"/>
  <c r="B9" i="25" s="1"/>
  <c r="B11" i="25" s="1"/>
  <c r="H27" i="24"/>
  <c r="B3" i="24" s="1"/>
  <c r="E25" i="24"/>
  <c r="E17" i="24"/>
  <c r="B5" i="24"/>
  <c r="B20" i="25" l="1"/>
  <c r="B19" i="25"/>
  <c r="B7" i="24"/>
  <c r="B9" i="24" s="1"/>
  <c r="B11" i="24" s="1"/>
  <c r="H30" i="23"/>
  <c r="B3" i="23" s="1"/>
  <c r="E25" i="23"/>
  <c r="E17" i="23"/>
  <c r="B5" i="23"/>
  <c r="B20" i="24" l="1"/>
  <c r="B19" i="24"/>
  <c r="B7" i="23"/>
  <c r="B9" i="23" s="1"/>
  <c r="B11" i="23" s="1"/>
  <c r="H37" i="22"/>
  <c r="B3" i="22" s="1"/>
  <c r="E25" i="22"/>
  <c r="E17" i="22"/>
  <c r="B5" i="22"/>
  <c r="B20" i="23" l="1"/>
  <c r="B19" i="23"/>
  <c r="B7" i="22"/>
  <c r="B9" i="22" s="1"/>
  <c r="B11" i="22" s="1"/>
  <c r="H35" i="21"/>
  <c r="B3" i="21" s="1"/>
  <c r="E25" i="21"/>
  <c r="E17" i="21"/>
  <c r="B5" i="21"/>
  <c r="B20" i="22" l="1"/>
  <c r="B19" i="22"/>
  <c r="B7" i="21"/>
  <c r="B9" i="21" s="1"/>
  <c r="B11" i="21" s="1"/>
  <c r="E25" i="20"/>
  <c r="H32" i="20"/>
  <c r="B3" i="20" s="1"/>
  <c r="E17" i="20"/>
  <c r="B5" i="20"/>
  <c r="B20" i="21" l="1"/>
  <c r="B19" i="21"/>
  <c r="B7" i="20"/>
  <c r="B9" i="20" s="1"/>
  <c r="B11" i="20" s="1"/>
  <c r="P25" i="19"/>
  <c r="B20" i="20" l="1"/>
  <c r="B19" i="20"/>
  <c r="H24" i="19"/>
  <c r="B3" i="19" s="1"/>
  <c r="E25" i="19"/>
  <c r="E17" i="19"/>
  <c r="B5" i="19"/>
  <c r="B7" i="19" l="1"/>
  <c r="B9" i="19" s="1"/>
  <c r="B11" i="19" s="1"/>
  <c r="H46" i="18"/>
  <c r="B3" i="18" s="1"/>
  <c r="E25" i="18"/>
  <c r="E17" i="18"/>
  <c r="B5" i="18"/>
  <c r="B19" i="19" l="1"/>
  <c r="B20" i="19"/>
  <c r="B7" i="18"/>
  <c r="B9" i="18" s="1"/>
  <c r="B11" i="18" s="1"/>
  <c r="H40" i="17"/>
  <c r="B3" i="17" s="1"/>
  <c r="E25" i="17"/>
  <c r="E17" i="17"/>
  <c r="E9" i="17"/>
  <c r="B5" i="17"/>
  <c r="B20" i="18" l="1"/>
  <c r="B19" i="18"/>
  <c r="B7" i="17"/>
  <c r="B9" i="17" s="1"/>
  <c r="B11" i="17" s="1"/>
  <c r="E25" i="16"/>
  <c r="H40" i="16"/>
  <c r="B3" i="16" s="1"/>
  <c r="E17" i="16"/>
  <c r="E9" i="16"/>
  <c r="B5" i="16"/>
  <c r="B20" i="17" l="1"/>
  <c r="B19" i="17"/>
  <c r="B7" i="16"/>
  <c r="B9" i="16" s="1"/>
  <c r="B11" i="16" s="1"/>
  <c r="E25" i="15"/>
  <c r="H24" i="15"/>
  <c r="B3" i="15" s="1"/>
  <c r="E17" i="15"/>
  <c r="E9" i="15"/>
  <c r="B5" i="15"/>
  <c r="B20" i="16" l="1"/>
  <c r="B19" i="16"/>
  <c r="B7" i="15"/>
  <c r="B9" i="15" s="1"/>
  <c r="B11" i="15" s="1"/>
  <c r="E25" i="14"/>
  <c r="H23" i="14"/>
  <c r="B3" i="14" s="1"/>
  <c r="E17" i="14"/>
  <c r="E9" i="14"/>
  <c r="B5" i="14"/>
  <c r="E25" i="13"/>
  <c r="H23" i="13"/>
  <c r="B3" i="13" s="1"/>
  <c r="E17" i="13"/>
  <c r="E9" i="13"/>
  <c r="B5" i="13"/>
  <c r="E25" i="12"/>
  <c r="H23" i="12"/>
  <c r="B3" i="12" s="1"/>
  <c r="E17" i="12"/>
  <c r="E9" i="12"/>
  <c r="B5" i="12"/>
  <c r="E25" i="11"/>
  <c r="H23" i="11"/>
  <c r="B3" i="11" s="1"/>
  <c r="E17" i="11"/>
  <c r="E9" i="11"/>
  <c r="B5" i="11"/>
  <c r="B5" i="10"/>
  <c r="H23" i="10"/>
  <c r="B3" i="10" s="1"/>
  <c r="E25" i="10"/>
  <c r="S20" i="10"/>
  <c r="E17" i="10"/>
  <c r="E9" i="10"/>
  <c r="B5" i="8"/>
  <c r="T20" i="7"/>
  <c r="S20" i="8"/>
  <c r="R12" i="6"/>
  <c r="E12" i="6"/>
  <c r="E25" i="8"/>
  <c r="H18" i="8"/>
  <c r="B3" i="8" s="1"/>
  <c r="E17" i="8"/>
  <c r="E9" i="8"/>
  <c r="E23" i="7"/>
  <c r="H19" i="7"/>
  <c r="B3" i="7" s="1"/>
  <c r="E16" i="7"/>
  <c r="E9" i="7"/>
  <c r="E28" i="6"/>
  <c r="H18" i="6"/>
  <c r="B3" i="6" s="1"/>
  <c r="E20" i="6"/>
  <c r="B5" i="6"/>
  <c r="E9" i="1"/>
  <c r="E17" i="1"/>
  <c r="E25" i="1"/>
  <c r="B5" i="1"/>
  <c r="H18" i="1"/>
  <c r="B3" i="1" s="1"/>
  <c r="B20" i="15" l="1"/>
  <c r="B19" i="15"/>
  <c r="B7" i="14"/>
  <c r="B9" i="14" s="1"/>
  <c r="B11" i="14" s="1"/>
  <c r="B7" i="13"/>
  <c r="B7" i="12"/>
  <c r="B9" i="12" s="1"/>
  <c r="B7" i="11"/>
  <c r="B9" i="11" s="1"/>
  <c r="B11" i="11" s="1"/>
  <c r="B7" i="10"/>
  <c r="B9" i="10" s="1"/>
  <c r="B11" i="10" s="1"/>
  <c r="B7" i="8"/>
  <c r="H29" i="7"/>
  <c r="B5" i="7" s="1"/>
  <c r="B7" i="6"/>
  <c r="B11" i="6" s="1"/>
  <c r="B18" i="6" s="1"/>
  <c r="B7" i="1"/>
  <c r="B7" i="7" l="1"/>
  <c r="B11" i="7" s="1"/>
  <c r="B17" i="7" s="1"/>
  <c r="B19" i="14"/>
  <c r="B20" i="14"/>
  <c r="B9" i="13"/>
  <c r="B11" i="13" s="1"/>
  <c r="B11" i="12"/>
  <c r="B20" i="12" s="1"/>
  <c r="B19" i="11"/>
  <c r="B20" i="11"/>
  <c r="B18" i="11"/>
  <c r="B19" i="10"/>
  <c r="B20" i="10"/>
  <c r="B18" i="10"/>
  <c r="B9" i="8"/>
  <c r="B11" i="8" s="1"/>
  <c r="B16" i="6"/>
  <c r="B17" i="6"/>
  <c r="B11" i="1"/>
  <c r="B18" i="7" l="1"/>
  <c r="B19" i="7"/>
  <c r="B20" i="13"/>
  <c r="B19" i="13"/>
  <c r="B19" i="12"/>
  <c r="B18" i="12"/>
  <c r="B19" i="8"/>
  <c r="B18" i="8"/>
  <c r="B20" i="8"/>
  <c r="B18" i="1"/>
  <c r="B19" i="1"/>
  <c r="B20" i="1"/>
  <c r="A38" i="85" l="1"/>
  <c r="A39" i="85" s="1"/>
  <c r="B40" i="85" l="1"/>
</calcChain>
</file>

<file path=xl/sharedStrings.xml><?xml version="1.0" encoding="utf-8"?>
<sst xmlns="http://schemas.openxmlformats.org/spreadsheetml/2006/main" count="8414" uniqueCount="2403">
  <si>
    <t>FECHAMENTO DE CAIXA - MARÇO</t>
  </si>
  <si>
    <t>DATA</t>
  </si>
  <si>
    <t>TOTAL DE ENTRADA</t>
  </si>
  <si>
    <t>ALVARÁS</t>
  </si>
  <si>
    <t>DESPESAS</t>
  </si>
  <si>
    <t>LUCRO DO MÊS</t>
  </si>
  <si>
    <t>VALOR</t>
  </si>
  <si>
    <t>AÇÃO</t>
  </si>
  <si>
    <t>CLIENTE</t>
  </si>
  <si>
    <t>RESPONSÁVEL</t>
  </si>
  <si>
    <t>FABIANO</t>
  </si>
  <si>
    <t>GLÁUCIO</t>
  </si>
  <si>
    <t>RAFAEL</t>
  </si>
  <si>
    <t>MOTIVO</t>
  </si>
  <si>
    <t>RESERVA DE CAIXA</t>
  </si>
  <si>
    <t>INDENIZATÓRIA BONSUCESSO</t>
  </si>
  <si>
    <t>LUCIANA FÁTIMA</t>
  </si>
  <si>
    <t>CÍNTIA (CÉSAR PRESO)</t>
  </si>
  <si>
    <t>CRIMINAL</t>
  </si>
  <si>
    <t>MANDADO DE SEG. GARAGEM</t>
  </si>
  <si>
    <t>ANA MARIA</t>
  </si>
  <si>
    <t>INDENIZATÓRIA POR XINGAMENTOS</t>
  </si>
  <si>
    <t>DÉRPIO</t>
  </si>
  <si>
    <t>TOTAL</t>
  </si>
  <si>
    <t>ENTRADAS - MARÇO/16</t>
  </si>
  <si>
    <t>SAÍDAS DO CAIXA</t>
  </si>
  <si>
    <t>FECHAMENTO DE CAIXA - ABRIL</t>
  </si>
  <si>
    <t>ENTRADAS - ABRIL/16</t>
  </si>
  <si>
    <t>FECHAMENTO DE CAIXA - MAIO</t>
  </si>
  <si>
    <t>ENTRADAS - MAIO/16</t>
  </si>
  <si>
    <t>FECHAMENTO DE CAIXA - JUNHO</t>
  </si>
  <si>
    <t>ENTRADAS - JUNHO/16</t>
  </si>
  <si>
    <t>FECHAMENTO DE CAIXA - JULHO</t>
  </si>
  <si>
    <t>ENTRADAS - JULHO/16</t>
  </si>
  <si>
    <t>INVENTÁRIO</t>
  </si>
  <si>
    <t>MARQUIM</t>
  </si>
  <si>
    <t>DEVOLUÇÃO DE CONSÓRCIO</t>
  </si>
  <si>
    <t>JÉSSICA/ PAULO</t>
  </si>
  <si>
    <t>CONCESSÃO FOSFOETANOLAMINA (CÂNCER)</t>
  </si>
  <si>
    <t>Presente Márcia</t>
  </si>
  <si>
    <t>AÇÕES SR. ANTÔNIO</t>
  </si>
  <si>
    <t>ANTÔNIO</t>
  </si>
  <si>
    <t>CONTRA EMPRESA DE ÔNIBUS</t>
  </si>
  <si>
    <t>AMAROLINA</t>
  </si>
  <si>
    <t>Acompanhamento Delegacia</t>
  </si>
  <si>
    <t>EIDER</t>
  </si>
  <si>
    <t>Acordo Trabalhista</t>
  </si>
  <si>
    <t>Fábio Souza Dias</t>
  </si>
  <si>
    <t>PIA PARA ESCRITÓRIO</t>
  </si>
  <si>
    <t>CONTA DE TELEFONE</t>
  </si>
  <si>
    <t>ADRIANA</t>
  </si>
  <si>
    <t>MANDADO DE SEG. CONCURSO AG. PENITENCIÁRIO</t>
  </si>
  <si>
    <t>ELSON</t>
  </si>
  <si>
    <t>VERIFICAÇÃO DE PROCESSO CRIMINAL</t>
  </si>
  <si>
    <t>Leonardo (Warlison)</t>
  </si>
  <si>
    <t>ADIANTAMENTOS (VALES)</t>
  </si>
  <si>
    <t>TOTAL A RECEBER</t>
  </si>
  <si>
    <t>GLAUCIO</t>
  </si>
  <si>
    <t>ALUGUEL</t>
  </si>
  <si>
    <t>DIVISÃO</t>
  </si>
  <si>
    <t>Reembolso Papel Toalha Gláucio</t>
  </si>
  <si>
    <t>Reembolso Móveis do Escritório Rafael</t>
  </si>
  <si>
    <t>______________________________________</t>
  </si>
  <si>
    <t>FABIANO SILVANO TORQUATO</t>
  </si>
  <si>
    <t>________________________________</t>
  </si>
  <si>
    <t>GLAUCIO PEREIRA DIAS</t>
  </si>
  <si>
    <t>_________________________________</t>
  </si>
  <si>
    <t>RAFAEL DIAS BATISTA</t>
  </si>
  <si>
    <t>Reembolso Xerox Fabiano</t>
  </si>
  <si>
    <t>______________________________</t>
  </si>
  <si>
    <t>PERÍODO - 10/03 A 12/04</t>
  </si>
  <si>
    <t>Belo Horizonte, 12 de Abril de 2016</t>
  </si>
  <si>
    <t>DIVÓRCIO EXTRAJUDICIAL</t>
  </si>
  <si>
    <t>RUTE</t>
  </si>
  <si>
    <t>PARCELA DE HONORÁRIOS (DEFESA ACIDENTE TRANSITO)</t>
  </si>
  <si>
    <t>1ª PARCELA HONORÁRIOS (DEFESA CRIMINAL)</t>
  </si>
  <si>
    <t>HÂNIA/SÍNTIA</t>
  </si>
  <si>
    <t>ESTACIONAMENTO TORQUATO (AUDIENCIA CLÁUDIO)</t>
  </si>
  <si>
    <t>ESTACIONAMENTO GLAUCIO (DIVÓRCIO CARTÓRIO)</t>
  </si>
  <si>
    <t>DINHEIRO EM ESPÉCIE NO CAIXA</t>
  </si>
  <si>
    <t>DEFESA PROCESSO DE EMBRIAGUEZ</t>
  </si>
  <si>
    <t>1/3 PARCELA HONORÁRIOS (DEFESA CRIMINAL)</t>
  </si>
  <si>
    <t>MARCELO</t>
  </si>
  <si>
    <t>DILIGÊNCIA PROCESSO CRIMINAL</t>
  </si>
  <si>
    <t>ELIZETE (SP)</t>
  </si>
  <si>
    <t>COPASA</t>
  </si>
  <si>
    <t>ENTRADA DEFESA CRIMINAL ERICK</t>
  </si>
  <si>
    <t>ACORDO TRABALHISTA RG TELECOMUNICAÇÕES</t>
  </si>
  <si>
    <t>FÁBIO</t>
  </si>
  <si>
    <t>COMPRA INDEVIDA EM CARTÃO DE CRÉDITO ITAUCARD</t>
  </si>
  <si>
    <t>ANA</t>
  </si>
  <si>
    <t>ALMOÇO MARCIVON</t>
  </si>
  <si>
    <t>ACOMPANHAMENTO CRIMINAL</t>
  </si>
  <si>
    <t>SIDNEY (IRMÃO CÉSAR)</t>
  </si>
  <si>
    <t>DESPESAS FABIANO (ATENDIMENTO NO FIM DE SEMANA)</t>
  </si>
  <si>
    <t>ESTACIONAMENTO VENDA NOVA - GLÁUCIO</t>
  </si>
  <si>
    <t>PARCELA DE HONORÁRIOS</t>
  </si>
  <si>
    <t>WILLIAN (LGO)</t>
  </si>
  <si>
    <t>Parcela de Honorários</t>
  </si>
  <si>
    <t>MAROLINA</t>
  </si>
  <si>
    <t>ENTRADA AÇÃO REVISIONAL</t>
  </si>
  <si>
    <t>ALOISIO DIVINO</t>
  </si>
  <si>
    <t>ALMOÇO</t>
  </si>
  <si>
    <t>ANA MARIA / RENÊ</t>
  </si>
  <si>
    <t>AÇÃO GARAGEM SERRA VERDE</t>
  </si>
  <si>
    <t>almoço + remédio</t>
  </si>
  <si>
    <t>PAPEL OFÍCIO E PORTA COADOR</t>
  </si>
  <si>
    <t>Pagamento online Merc. Pago</t>
  </si>
  <si>
    <t>Pagamento Online</t>
  </si>
  <si>
    <t>Vale</t>
  </si>
  <si>
    <t>Vale (Final de semana)</t>
  </si>
  <si>
    <t>Belo Horizonte, 09 de Maio de 2016</t>
  </si>
  <si>
    <t>PERÍODO - 13/04 A 09/05</t>
  </si>
  <si>
    <t>_____________________________________</t>
  </si>
  <si>
    <t>Belo Horizonte, 09 de Maio de 2016.</t>
  </si>
  <si>
    <t>PERÍODO - 10/05 A 10/06</t>
  </si>
  <si>
    <t>Alvará de Ação Judicial</t>
  </si>
  <si>
    <t>Luiz Espinosa</t>
  </si>
  <si>
    <t>Pagamento de Parcela de Honorários (2/3)</t>
  </si>
  <si>
    <t>Marcelo - PM</t>
  </si>
  <si>
    <t>Elson</t>
  </si>
  <si>
    <t>Pagamento de Parcela de Honorários - Mandado de Segurança</t>
  </si>
  <si>
    <t>Conta telefone escritório mês de abril</t>
  </si>
  <si>
    <t>Conta telefone escritório mês de maio</t>
  </si>
  <si>
    <t>Pagamento de Parcela de Honorários - Divórcio</t>
  </si>
  <si>
    <t>Gisele Ubaldo</t>
  </si>
  <si>
    <t>Pagamento de Parcela de Honorários - Criminal/DETRAN</t>
  </si>
  <si>
    <t>Cálculos Trabalhistas</t>
  </si>
  <si>
    <t>CFC NOVA NISSI</t>
  </si>
  <si>
    <t>Açucar e outros</t>
  </si>
  <si>
    <t>Agua sanitária e biscoitos</t>
  </si>
  <si>
    <t>Paulo Cipó</t>
  </si>
  <si>
    <t>Defesa Execução</t>
  </si>
  <si>
    <t>José Mariano</t>
  </si>
  <si>
    <t>Defesa Processo Acidente de Trânsito</t>
  </si>
  <si>
    <t>Fabio Souza Dias</t>
  </si>
  <si>
    <t>Processo Acidente de Trânsito</t>
  </si>
  <si>
    <t>Mandado de Segurança Seguro Desemprego</t>
  </si>
  <si>
    <t>Andreia / Luiz Espinosa</t>
  </si>
  <si>
    <t>Defesa Criminal</t>
  </si>
  <si>
    <t>Antônio</t>
  </si>
  <si>
    <t>Defesa ação do município de BH</t>
  </si>
  <si>
    <t>Erick Daniel</t>
  </si>
  <si>
    <t>Ação Exibitória/Revisional (Parcela 2/2)</t>
  </si>
  <si>
    <t>Aloisio Divino</t>
  </si>
  <si>
    <t>CEMIG</t>
  </si>
  <si>
    <t>Belo Horizonte, 10 de Junho de 2016</t>
  </si>
  <si>
    <t>Telefone e Internet</t>
  </si>
  <si>
    <t>Acompanhamento Criminal</t>
  </si>
  <si>
    <t>Jefferson / Mª Aparecida</t>
  </si>
  <si>
    <t>Parcela honorários</t>
  </si>
  <si>
    <t>Marcelo</t>
  </si>
  <si>
    <t>Trabalhista (Saque FGTS)</t>
  </si>
  <si>
    <t>Eliane</t>
  </si>
  <si>
    <t>Parcela Geladeira</t>
  </si>
  <si>
    <t>Papel A4 e Pote de açucar</t>
  </si>
  <si>
    <t>banco</t>
  </si>
  <si>
    <t>Despesas Torquato (estacionamento e gasolina)</t>
  </si>
  <si>
    <t>Cemig</t>
  </si>
  <si>
    <t>Compras Escritório (Toddy e Leite)</t>
  </si>
  <si>
    <t>Compras Escritório (Torrada e Biscoito)</t>
  </si>
  <si>
    <t>Gisele Aparecida Vieira</t>
  </si>
  <si>
    <t>Mandado de Segurança</t>
  </si>
  <si>
    <t>JUSBRASIL</t>
  </si>
  <si>
    <t>Despesas Gláucio (estacionamento)</t>
  </si>
  <si>
    <t>Divórcio</t>
  </si>
  <si>
    <t>Simone</t>
  </si>
  <si>
    <t>Fabiano</t>
  </si>
  <si>
    <t>Ação família (paternidade)</t>
  </si>
  <si>
    <t>Cristiano</t>
  </si>
  <si>
    <t>Antonio Cassemiro</t>
  </si>
  <si>
    <t>Despesas Gasolina Glaucio</t>
  </si>
  <si>
    <t>Custas José Cláudio</t>
  </si>
  <si>
    <t>Aluguel</t>
  </si>
  <si>
    <t>Rute Fialho da Silva</t>
  </si>
  <si>
    <t>PERÍODO - 11/06 A 08/07</t>
  </si>
  <si>
    <t>Belo Horizonte, 08 de Julho de 2016</t>
  </si>
  <si>
    <t>___________________________</t>
  </si>
  <si>
    <t>Declaro, para os devidos fins, que na presente data recebi o valor consignado no campo "total a receber", aprovando neste ato as contas referentes ao mês de junho de 2016, bem como dando quitação pelos valores recebidos.</t>
  </si>
  <si>
    <t>Belo Horizonte, 08 de Julho de 2016.</t>
  </si>
  <si>
    <t>BANCO</t>
  </si>
  <si>
    <t>Contrato Locação</t>
  </si>
  <si>
    <t>Brian</t>
  </si>
  <si>
    <t>Marquim</t>
  </si>
  <si>
    <t>Parcela honorários - Inventário</t>
  </si>
  <si>
    <t>Parcela Honorários - Consultoria Trabalhista</t>
  </si>
  <si>
    <t>Gerson Felipe</t>
  </si>
  <si>
    <t>Pasta Suspensa</t>
  </si>
  <si>
    <t>Diferença conta telefone</t>
  </si>
  <si>
    <t>Parcela Honorários</t>
  </si>
  <si>
    <t>André Domingos</t>
  </si>
  <si>
    <t>Confecção de Contrato</t>
  </si>
  <si>
    <t>José Luzia</t>
  </si>
  <si>
    <t>LANCHE E CAFÉ</t>
  </si>
  <si>
    <t>LANCHE</t>
  </si>
  <si>
    <t>ESTACIONAMENTO GLAUCIO DIVÓRCIO</t>
  </si>
  <si>
    <t>José Ramos da Silva</t>
  </si>
  <si>
    <t>Multa</t>
  </si>
  <si>
    <t>OAB</t>
  </si>
  <si>
    <t>Pagamento Cartório p/ Divórcio</t>
  </si>
  <si>
    <t>Estacionamento Rafael Audiência Jonathan</t>
  </si>
  <si>
    <t>AÇÃO DE ALIMENTOS</t>
  </si>
  <si>
    <t>Maria Lafaiete Paranhos</t>
  </si>
  <si>
    <t>César Samuel</t>
  </si>
  <si>
    <t>Lanche</t>
  </si>
  <si>
    <t>Acordo Cível</t>
  </si>
  <si>
    <t>José Cláudio</t>
  </si>
  <si>
    <t>Ana Carolina</t>
  </si>
  <si>
    <t>Acordo em Divórcio</t>
  </si>
  <si>
    <t>Jusbrasil</t>
  </si>
  <si>
    <t>Declaro, para os devidos fins, que na presente data recebi o valor consignado no campo "total a receber", aprovando neste ato as contas referentes ao mês de julho de 2016, bem como dando quitação pelos valores recebidos.</t>
  </si>
  <si>
    <t>Estacionamento Rafael Audiência Erick</t>
  </si>
  <si>
    <t>Papel A4</t>
  </si>
  <si>
    <t>Ação contra Casarão automóveis</t>
  </si>
  <si>
    <t>Ação acidente de trânsito</t>
  </si>
  <si>
    <t>Entrada divórcio Extrajudicial</t>
  </si>
  <si>
    <t>Cláudia</t>
  </si>
  <si>
    <t>Warlison Ricardo</t>
  </si>
  <si>
    <t>Sislene Gomes</t>
  </si>
  <si>
    <t>Pagamento Parcela Pensão Alimentícia</t>
  </si>
  <si>
    <t>Silmara Aparecida</t>
  </si>
  <si>
    <t>Conta Telefone</t>
  </si>
  <si>
    <t>Rute Fialho</t>
  </si>
  <si>
    <t>Entrada ação contra Trato feito</t>
  </si>
  <si>
    <t>Wesley Fernando</t>
  </si>
  <si>
    <t>PERÍODO - 11/07 A 12/08</t>
  </si>
  <si>
    <t>Belo Horizonte, 12 de Agosto de 2016</t>
  </si>
  <si>
    <t>Belo Horizonte, 12 de Agosto de 2016.</t>
  </si>
  <si>
    <t>Diferença Paulo</t>
  </si>
  <si>
    <t>PERÍODO - 15/08 A 12/09</t>
  </si>
  <si>
    <t>Belo Horizonte, 12 de Setembro de 2016</t>
  </si>
  <si>
    <t>ENTRADAS - AGOSTO/16</t>
  </si>
  <si>
    <t>Belo Horizonte, 12 de Setembro de 2016.</t>
  </si>
  <si>
    <t>Declaro, para os devidos fins, que na presente data recebi o valor consignado no campo "total a receber", aprovando neste ato as contas referentes ao mês de Agosto de 2016, bem como dando quitação pelos valores recebidos.</t>
  </si>
  <si>
    <t>Parcela Honorários Divórcio</t>
  </si>
  <si>
    <t>Parcela Honorários Inventário</t>
  </si>
  <si>
    <t>Entrada Desaposentação</t>
  </si>
  <si>
    <t>Aristides Costa</t>
  </si>
  <si>
    <t>Parcela Ação Alimentos</t>
  </si>
  <si>
    <t>Maria Lafaiete</t>
  </si>
  <si>
    <t>Banco</t>
  </si>
  <si>
    <t>Parcela Honorários Criminal</t>
  </si>
  <si>
    <t>Erick Daniel / Maria</t>
  </si>
  <si>
    <t>Parcela Honorários ação paternidade</t>
  </si>
  <si>
    <t>Entrada ação contra Agência Trato Feito</t>
  </si>
  <si>
    <t>Lucas</t>
  </si>
  <si>
    <t>Mandado de Segurança Concurso Público</t>
  </si>
  <si>
    <t>Banco T</t>
  </si>
  <si>
    <t>Compras para escritório</t>
  </si>
  <si>
    <t>Reconhecimento de firma Eliane</t>
  </si>
  <si>
    <t>Conta CEMIG Setembro</t>
  </si>
  <si>
    <t>Conta CEMIG Agosto</t>
  </si>
  <si>
    <t>Conta Telefone Agosto</t>
  </si>
  <si>
    <t>Alexandre Viana</t>
  </si>
  <si>
    <t>Gláucio Gasolina - Neves + Caeté</t>
  </si>
  <si>
    <t>Parcela</t>
  </si>
  <si>
    <t>Ação Divórcio</t>
  </si>
  <si>
    <t>Ação Desaposentação</t>
  </si>
  <si>
    <t>Recurso CEMIG</t>
  </si>
  <si>
    <t>FECHAMENTO DE CAIXA - SETEMBRO</t>
  </si>
  <si>
    <t>ENTRADAS - SETEMBRO/16</t>
  </si>
  <si>
    <t>Declaro, para os devidos fins, que na presente data recebi o valor consignado no campo "total a receber", aprovando neste ato as contas referentes ao mês de Setembro de 2016, bem como dando quitação pelos valores recebidos.</t>
  </si>
  <si>
    <t>Telefone Escritório</t>
  </si>
  <si>
    <t>Inventário</t>
  </si>
  <si>
    <t>Marquinho</t>
  </si>
  <si>
    <t>Compras Para escritório</t>
  </si>
  <si>
    <t>Ação acidente</t>
  </si>
  <si>
    <t>Glaucio</t>
  </si>
  <si>
    <t>Rafael</t>
  </si>
  <si>
    <t>Parcela de Honorários Ação Criminal</t>
  </si>
  <si>
    <t>Ação de Familia</t>
  </si>
  <si>
    <t>Simone T.</t>
  </si>
  <si>
    <t>Copasa</t>
  </si>
  <si>
    <t>Compra de Copos</t>
  </si>
  <si>
    <t>JUS</t>
  </si>
  <si>
    <t>Ação Família - Paternidade</t>
  </si>
  <si>
    <t>Marcos Paulo</t>
  </si>
  <si>
    <t>Alvará</t>
  </si>
  <si>
    <t>Ação Trato Feito</t>
  </si>
  <si>
    <t>Processo Embriaguez</t>
  </si>
  <si>
    <t>Ação HDI</t>
  </si>
  <si>
    <t>PERÍODO - 12/09 A 10/10</t>
  </si>
  <si>
    <t>Belo Horizonte, 14 de Outubro de 2016</t>
  </si>
  <si>
    <t>Belo Horizonte, 14 de Outubro de 2016.</t>
  </si>
  <si>
    <t>PERÍODO - 10/10 A 10/11</t>
  </si>
  <si>
    <t>Ação Acidente</t>
  </si>
  <si>
    <t>Gláucio</t>
  </si>
  <si>
    <t>Trabalhista</t>
  </si>
  <si>
    <t>Carlos Samuel</t>
  </si>
  <si>
    <t xml:space="preserve">Lucas </t>
  </si>
  <si>
    <t>Defesa Trabalhista</t>
  </si>
  <si>
    <t>TATAKI</t>
  </si>
  <si>
    <t>SISLENE GOMES</t>
  </si>
  <si>
    <t>Belo Horizonte, 10 de Novembro de 2016</t>
  </si>
  <si>
    <t>Belo Horizonte, 10 de Novembro de 2016.</t>
  </si>
  <si>
    <t>FECHAMENTO DE CAIXA - OUTUBRO</t>
  </si>
  <si>
    <t>ENTRADAS - OUTUBRO/16</t>
  </si>
  <si>
    <t>Declaro, para os devidos fins, que na presente data recebi o valor consignado no campo "total a receber", aprovando neste ato as contas referentes ao mês de Outubro de 2016, bem como dando quitação pelos valores recebidos.</t>
  </si>
  <si>
    <t>Ação contra Elias Car</t>
  </si>
  <si>
    <t>Wanderson</t>
  </si>
  <si>
    <t>ENTRADAS - NOVEMBRO/16</t>
  </si>
  <si>
    <t>PERÍODO - 16/11 A 10/12</t>
  </si>
  <si>
    <t>Ação</t>
  </si>
  <si>
    <t>Maria</t>
  </si>
  <si>
    <t>Leandro</t>
  </si>
  <si>
    <t>Desconhecido</t>
  </si>
  <si>
    <t>Audiência Trabalhista</t>
  </si>
  <si>
    <t>Tadeu Felipe</t>
  </si>
  <si>
    <t>Priscila Hanna</t>
  </si>
  <si>
    <t>Tataki Locações</t>
  </si>
  <si>
    <t>Warlison</t>
  </si>
  <si>
    <t>Belo Horizonte, 10 de Dezembro de 2016</t>
  </si>
  <si>
    <t>Compra Sapatos</t>
  </si>
  <si>
    <t>PERÍODO - 11/12 A 10/01</t>
  </si>
  <si>
    <t>Administrativo seguro de vida Marcelo</t>
  </si>
  <si>
    <t>Eliane Gomes</t>
  </si>
  <si>
    <t>Parcela Honorários Mandado de Segurança</t>
  </si>
  <si>
    <t>Lucas Rosa</t>
  </si>
  <si>
    <t>Maritá</t>
  </si>
  <si>
    <t>Inadimplência Beatriz da Silva</t>
  </si>
  <si>
    <t>Inadimplência Simone Aparecida</t>
  </si>
  <si>
    <t>Inadimplência Marcos Aurélio</t>
  </si>
  <si>
    <t>Declaro, para os devidos fins, que na presente data recebi o valor consignado no campo "total a receber", aprovando neste ato as contas referentes ao mês de Novembro de 2016, bem como dando quitação pelos valores recebidos.</t>
  </si>
  <si>
    <t>FECHAMENTO DE CAIXA - Dezembro</t>
  </si>
  <si>
    <t>CFC Viper (Felipe)</t>
  </si>
  <si>
    <t>Joceli</t>
  </si>
  <si>
    <t>Silmara</t>
  </si>
  <si>
    <t>Pensão Alimentícia</t>
  </si>
  <si>
    <t>FECHAMENTO DE CAIXA - Novembro</t>
  </si>
  <si>
    <t>Selma</t>
  </si>
  <si>
    <t>Rafael e Rodrigo</t>
  </si>
  <si>
    <t>Ana André</t>
  </si>
  <si>
    <t>Telefone Dezembro</t>
  </si>
  <si>
    <t>Copasa Dezembro</t>
  </si>
  <si>
    <t>Cemig Dezembro</t>
  </si>
  <si>
    <t>Belo Horizonte, 10 de Janeiro de 2017</t>
  </si>
  <si>
    <t>Belo Horizonte, 10 de Janeiro de 2017.</t>
  </si>
  <si>
    <t>Inadimplência Cleonice Maria</t>
  </si>
  <si>
    <t>Inadimplência Lilia Barros</t>
  </si>
  <si>
    <t>Belo Horizonte, 10 de Dezembro de 2016.</t>
  </si>
  <si>
    <t>Telefone Janeiro</t>
  </si>
  <si>
    <t>Prestação de Contas</t>
  </si>
  <si>
    <t>Sapatos</t>
  </si>
  <si>
    <t>Prestação de Contas Maritá - Luiz Espinosa</t>
  </si>
  <si>
    <t>Diferença Cemig Dezembro - Edimilson</t>
  </si>
  <si>
    <t>Almoço Rafael, Glaucio e Luiz</t>
  </si>
  <si>
    <t>Numerador p/ prestação de Contas</t>
  </si>
  <si>
    <t>Inadimplência Sidiney Martins</t>
  </si>
  <si>
    <t>Dérpio</t>
  </si>
  <si>
    <t>Inadimplência Talita Nadu</t>
  </si>
  <si>
    <t>Inadimplência Sirlene Caetano</t>
  </si>
  <si>
    <t>Inadimplência Claudineia Silva</t>
  </si>
  <si>
    <t>Inadimplência Aloisio Rocha</t>
  </si>
  <si>
    <t>Inadimplência Silvio de Oliveira</t>
  </si>
  <si>
    <t>Pagamento Parcela Honorários</t>
  </si>
  <si>
    <t>Inadimplência Juliana Gonçalves</t>
  </si>
  <si>
    <t>ENTRADAS - DEZEMBRO/16</t>
  </si>
  <si>
    <t>FECHAMENTO DE CAIXA - Janeiro</t>
  </si>
  <si>
    <t>PERÍODO - 11/01 A 10/02</t>
  </si>
  <si>
    <t>Belo Horizonte, 10 de Fevereiro de 2017</t>
  </si>
  <si>
    <t>ENTRADAS - JANEIRO/17</t>
  </si>
  <si>
    <t>Belo Horizonte, 10 de Fevereiro de 2017.</t>
  </si>
  <si>
    <t>Daniel Nonato</t>
  </si>
  <si>
    <t>Carta</t>
  </si>
  <si>
    <t>Inadimplência Waldiene A de Jesus</t>
  </si>
  <si>
    <t>Inadimplência Enio do Carmo</t>
  </si>
  <si>
    <t>Acompanhamento Trânsito</t>
  </si>
  <si>
    <t>Geraldo Magela</t>
  </si>
  <si>
    <t>Paulo Gonçalves</t>
  </si>
  <si>
    <t>Parcela Defesa Trabalhista</t>
  </si>
  <si>
    <t>Pierre</t>
  </si>
  <si>
    <t>Inadimplência Miria Purificação Freitas</t>
  </si>
  <si>
    <t>Parcela Acompanhamento delegacia</t>
  </si>
  <si>
    <t>Rodrigo/Vilma</t>
  </si>
  <si>
    <t>Paulo Humberto</t>
  </si>
  <si>
    <t>Avaliação de Processo</t>
  </si>
  <si>
    <t>Rosemary/Gilmar</t>
  </si>
  <si>
    <t>Divórcio e Alimentos</t>
  </si>
  <si>
    <t>Joel Roberto</t>
  </si>
  <si>
    <t>Alimentos</t>
  </si>
  <si>
    <t>Inadimplência Silvio Geraldo</t>
  </si>
  <si>
    <t>Geraldo Ramom</t>
  </si>
  <si>
    <t>José Alvarenga</t>
  </si>
  <si>
    <t>Osvaldo Pereira</t>
  </si>
  <si>
    <t>Ricardo Tadeu</t>
  </si>
  <si>
    <t>Receptor Wi-fi</t>
  </si>
  <si>
    <t>Viagem Itaguara</t>
  </si>
  <si>
    <t>Inadimplência Ronald M Vasconcelos</t>
  </si>
  <si>
    <t>Certidão Claudia Mônica</t>
  </si>
  <si>
    <t>Atendimento no presídio</t>
  </si>
  <si>
    <t>Joenio Bispo</t>
  </si>
  <si>
    <t>Ação Roubo de Veículo</t>
  </si>
  <si>
    <t>Ação consumidor</t>
  </si>
  <si>
    <t>Jonathan Johnson</t>
  </si>
  <si>
    <t>Phellippe Samarone</t>
  </si>
  <si>
    <t>Desarquivamento Ricardo Tadeu</t>
  </si>
  <si>
    <t>PERÍODO - 11/02 A 10/03</t>
  </si>
  <si>
    <t>Belo Horizonte, 10 de Março de 2017</t>
  </si>
  <si>
    <t>Belo Horizonte, 10 de Março de 2017.</t>
  </si>
  <si>
    <t>ENTRADAS - Fevereiro/17</t>
  </si>
  <si>
    <t>FECHAMENTO DE CAIXA - Fevereiro</t>
  </si>
  <si>
    <t>Pagamento Alyne</t>
  </si>
  <si>
    <t>Tonner</t>
  </si>
  <si>
    <t>Defesa processo Condomínio</t>
  </si>
  <si>
    <t>Inadimplência Laura do Carmo Costa</t>
  </si>
  <si>
    <t>Inadimplência Kamala Karine Darc</t>
  </si>
  <si>
    <t>Inadimplência Wilton Thomaz de Jesus</t>
  </si>
  <si>
    <t>Inadimplência Marcelo Claudio</t>
  </si>
  <si>
    <t>Inadimplência Carlos Eduardo da Silva</t>
  </si>
  <si>
    <t>Matheus Henrique</t>
  </si>
  <si>
    <t>Leandro Marcelo</t>
  </si>
  <si>
    <t>Heli Ferraz</t>
  </si>
  <si>
    <t>Ação de família</t>
  </si>
  <si>
    <t>Gizele Ubaldo</t>
  </si>
  <si>
    <t>Vicente Igarapé</t>
  </si>
  <si>
    <t>Aguinaldo Maciel</t>
  </si>
  <si>
    <t>Inadimplência Paulo Roberto</t>
  </si>
  <si>
    <t>Inadimplência Marco Aurélio</t>
  </si>
  <si>
    <t>Defesa Monitória (falta cheque 280)</t>
  </si>
  <si>
    <t>José Geraldo</t>
  </si>
  <si>
    <t>Inadimplência Grasielle Carolina</t>
  </si>
  <si>
    <t>Eliane Carlos</t>
  </si>
  <si>
    <t>Moderninha</t>
  </si>
  <si>
    <t>Gilmar Lima</t>
  </si>
  <si>
    <t>Inadimplência Manoel Alves</t>
  </si>
  <si>
    <t>Eustáquio Eleutério</t>
  </si>
  <si>
    <t>Divórcio Extrajudicial</t>
  </si>
  <si>
    <t>Gleicimara</t>
  </si>
  <si>
    <t>Paulo Angelo</t>
  </si>
  <si>
    <t>Ação Cível</t>
  </si>
  <si>
    <t>Dérpio Francimar</t>
  </si>
  <si>
    <t>Exoneração de Pensão</t>
  </si>
  <si>
    <t>Diferença IPVA</t>
  </si>
  <si>
    <t>Heli Ferraz Junior</t>
  </si>
  <si>
    <t>Alessandra Cristina</t>
  </si>
  <si>
    <t>gasolina</t>
  </si>
  <si>
    <t>Pagamento Kamila</t>
  </si>
  <si>
    <t>Roupas</t>
  </si>
  <si>
    <t>Alexandre</t>
  </si>
  <si>
    <t>Busca de veículo</t>
  </si>
  <si>
    <t>Ação previdênciária</t>
  </si>
  <si>
    <t>Rebeca Processo José Geraldo</t>
  </si>
  <si>
    <t>Daniel</t>
  </si>
  <si>
    <t>Matheus</t>
  </si>
  <si>
    <t>Leandro Simplicio</t>
  </si>
  <si>
    <t>Osvaldo Fonseca</t>
  </si>
  <si>
    <t>Ronaldo</t>
  </si>
  <si>
    <t>Inadimplência Cassiane</t>
  </si>
  <si>
    <t>Marco Antonio Nascimento</t>
  </si>
  <si>
    <t>PERÍODO - 11/03 A 10/04</t>
  </si>
  <si>
    <t>Belo Horizonte, 10 de Abril de 2017</t>
  </si>
  <si>
    <t>Belo Horizonte, 10 de Abril de 2017.</t>
  </si>
  <si>
    <t>Roberto Andrade</t>
  </si>
  <si>
    <t>Acordo Banco</t>
  </si>
  <si>
    <t>Defesa Cível</t>
  </si>
  <si>
    <t>Uai Estofados</t>
  </si>
  <si>
    <t>Fabiana Silva</t>
  </si>
  <si>
    <t>João Pires</t>
  </si>
  <si>
    <t>José Adel filho e pai</t>
  </si>
  <si>
    <t>Evento Futuro</t>
  </si>
  <si>
    <t>Pedido de desistência em ação</t>
  </si>
  <si>
    <t>Iris Teixeira</t>
  </si>
  <si>
    <t>Geraldo Martins</t>
  </si>
  <si>
    <t>kamila</t>
  </si>
  <si>
    <t>aluguel</t>
  </si>
  <si>
    <t>moderninha</t>
  </si>
  <si>
    <t>Acompanhamento Trânsito 75 dinheiro 300 cheque ok</t>
  </si>
  <si>
    <t>Confecção de contrato câmeras</t>
  </si>
  <si>
    <t>Acordo banco</t>
  </si>
  <si>
    <t>Acordo Paraná Banco</t>
  </si>
  <si>
    <t>Maria de Lourdes</t>
  </si>
  <si>
    <t>prestação de contas</t>
  </si>
  <si>
    <t>Marcos</t>
  </si>
  <si>
    <t>Multa Trabalhista</t>
  </si>
  <si>
    <t>Letícia Marinho</t>
  </si>
  <si>
    <t>Inadimplência Silvania Reis</t>
  </si>
  <si>
    <t>Adão Pedro</t>
  </si>
  <si>
    <t>Marco Antônio Nascimento</t>
  </si>
  <si>
    <t>Escarpas</t>
  </si>
  <si>
    <t>Jhonatan</t>
  </si>
  <si>
    <t>Itaguara</t>
  </si>
  <si>
    <t>Recuperação Veículo</t>
  </si>
  <si>
    <t>Sergio</t>
  </si>
  <si>
    <t>Divórcio Contagem</t>
  </si>
  <si>
    <t>Nelson Gomes</t>
  </si>
  <si>
    <t>Murilo Saraiva</t>
  </si>
  <si>
    <t>Acompanhamento Trânsito cheque</t>
  </si>
  <si>
    <t>Tataki</t>
  </si>
  <si>
    <t>José Geraldo Cota</t>
  </si>
  <si>
    <t>Condominio R Alexandria</t>
  </si>
  <si>
    <t>Mauricio G Bar</t>
  </si>
  <si>
    <t>Licenciamentos</t>
  </si>
  <si>
    <t>Jus</t>
  </si>
  <si>
    <t>PERÍODO - 11/04 A 10/05</t>
  </si>
  <si>
    <t>FECHAMENTO DE CAIXA - Abril</t>
  </si>
  <si>
    <t>FECHAMENTO DE CAIXA - Março</t>
  </si>
  <si>
    <t>ENTRADAS - Março/17</t>
  </si>
  <si>
    <t>ENTRADAS - Abril/17</t>
  </si>
  <si>
    <t>Belo Horizonte, 10 de Maio de 2017</t>
  </si>
  <si>
    <t>Ação Condomínio</t>
  </si>
  <si>
    <t>Telefone</t>
  </si>
  <si>
    <t>Inadimplência Vinicius Vidal</t>
  </si>
  <si>
    <t>Franklin Soares Neves</t>
  </si>
  <si>
    <t>Edilene dos Santos</t>
  </si>
  <si>
    <t>Sérgio</t>
  </si>
  <si>
    <t>Ação Itaguara</t>
  </si>
  <si>
    <t>Defesa Pensão Alimentícia</t>
  </si>
  <si>
    <t>Anderson E.S.</t>
  </si>
  <si>
    <t>Escola M.C.</t>
  </si>
  <si>
    <t>Arnaldo</t>
  </si>
  <si>
    <t>Garrafa Térmica</t>
  </si>
  <si>
    <t>Eder Celso</t>
  </si>
  <si>
    <t>Confecção Cartões de Visita</t>
  </si>
  <si>
    <t>PERÍODO - 11/05 A 10/06</t>
  </si>
  <si>
    <t>Belo Horizonte, 10 de Junho de 2017.</t>
  </si>
  <si>
    <t>Belo Horizonte, 10 de Junho de 2017</t>
  </si>
  <si>
    <t>ENTRADAS - Maio/17</t>
  </si>
  <si>
    <t>Marco Antônio</t>
  </si>
  <si>
    <t>Acompanhamento de Trânsito</t>
  </si>
  <si>
    <t>Jorge Corretor</t>
  </si>
  <si>
    <t>Gisele Rosa</t>
  </si>
  <si>
    <t>Ação contra Estado</t>
  </si>
  <si>
    <t>Fernandes</t>
  </si>
  <si>
    <t>Divorcio Fernandes</t>
  </si>
  <si>
    <t>Divórcio Consensual</t>
  </si>
  <si>
    <t>Gleicimara Contagem</t>
  </si>
  <si>
    <t>Belo Horizonte, 10 de Maio de 2017.</t>
  </si>
  <si>
    <t>Desconhecido Banco</t>
  </si>
  <si>
    <t>-</t>
  </si>
  <si>
    <t>Protocolo Postal Itaguara e Lagoa Santa</t>
  </si>
  <si>
    <t>Pagamento Rayssa</t>
  </si>
  <si>
    <t>Flavio dos Santos</t>
  </si>
  <si>
    <t>Letícia Marinho Castro</t>
  </si>
  <si>
    <t>Audiência Cível Maria de Lourdes Espinosa</t>
  </si>
  <si>
    <t>Diligência Itaguara</t>
  </si>
  <si>
    <t>Audiência Criminal JF</t>
  </si>
  <si>
    <t>Kelly (Helen)</t>
  </si>
  <si>
    <t>Diligência Criminal</t>
  </si>
  <si>
    <t>Reinaldo</t>
  </si>
  <si>
    <t>Rodrigo de Luca</t>
  </si>
  <si>
    <t>Unimed</t>
  </si>
  <si>
    <t>Defesa Execução Federal</t>
  </si>
  <si>
    <t>Renato Tataki</t>
  </si>
  <si>
    <t>Franklin</t>
  </si>
  <si>
    <t>Fabíola</t>
  </si>
  <si>
    <t>Erica / Cristhian</t>
  </si>
  <si>
    <t>P/ Trocar Cheques</t>
  </si>
  <si>
    <t>Eliane Carlos (alberto)</t>
  </si>
  <si>
    <t>Ação Alimentos</t>
  </si>
  <si>
    <t>Marcos Vinicius</t>
  </si>
  <si>
    <t>Ação ordinária</t>
  </si>
  <si>
    <t>Defesa Maria da Penha</t>
  </si>
  <si>
    <t>FECHAMENTO DE CAIXA - Maio</t>
  </si>
  <si>
    <t>FECHAMENTO DE CAIXA - Junho</t>
  </si>
  <si>
    <t>ENTRADAS - Junho/17</t>
  </si>
  <si>
    <t>Belo Horizonte, 10 de Julho de 2017</t>
  </si>
  <si>
    <t>Belo Horizonte, 10 de Julho de 2017.</t>
  </si>
  <si>
    <t>Gizele Rosa</t>
  </si>
  <si>
    <t>Defesa Ação Acidente de Trânsito</t>
  </si>
  <si>
    <t>Estorno Diferença Eder Celso</t>
  </si>
  <si>
    <t>Ação Divorcio</t>
  </si>
  <si>
    <t>Sérgio Contagem</t>
  </si>
  <si>
    <t>Ação Banco</t>
  </si>
  <si>
    <t>Parcela Zezuito</t>
  </si>
  <si>
    <t>Ação Juizado</t>
  </si>
  <si>
    <t>Negociação banco</t>
  </si>
  <si>
    <t>Luciana José</t>
  </si>
  <si>
    <t>Victor Fernandes</t>
  </si>
  <si>
    <t>Confecção de contrato</t>
  </si>
  <si>
    <t>Ação Familia</t>
  </si>
  <si>
    <t>José Roberto</t>
  </si>
  <si>
    <t>Cálculo de verbas rescisórias</t>
  </si>
  <si>
    <t>José Claudio</t>
  </si>
  <si>
    <t>Processo Cível</t>
  </si>
  <si>
    <t>Márcia Valéria</t>
  </si>
  <si>
    <t>Pensão Alimentícia - moderninha 800</t>
  </si>
  <si>
    <t>Erick</t>
  </si>
  <si>
    <t>Busca e Apreensão - moderninha</t>
  </si>
  <si>
    <t>Processo carro roubado</t>
  </si>
  <si>
    <t>Defesa Juizado</t>
  </si>
  <si>
    <t>Alessandra</t>
  </si>
  <si>
    <t>Renner 01/03</t>
  </si>
  <si>
    <t>Sketch 01/05</t>
  </si>
  <si>
    <t>itapua 01/06</t>
  </si>
  <si>
    <t>Papiro 01/04</t>
  </si>
  <si>
    <t>Lima05/06</t>
  </si>
  <si>
    <t>Lima 01/04</t>
  </si>
  <si>
    <t>Confecção de Testamento</t>
  </si>
  <si>
    <t>Osvaldo</t>
  </si>
  <si>
    <t>PERÍODO - 11/07 A 10/08</t>
  </si>
  <si>
    <t>PERÍODO - 11/06 A 10/07</t>
  </si>
  <si>
    <t>Belo Horizonte, 10 de Agosto de 2017</t>
  </si>
  <si>
    <t>Belo Horizonte, 10 de Agosto de 2017.</t>
  </si>
  <si>
    <t>Lima06/06</t>
  </si>
  <si>
    <t>Renner 02/03</t>
  </si>
  <si>
    <t>Sketch 02/05</t>
  </si>
  <si>
    <t>itapua 02/06</t>
  </si>
  <si>
    <t>Papiro 02/04</t>
  </si>
  <si>
    <t>Lima 02/04</t>
  </si>
  <si>
    <t>Conta de Luz</t>
  </si>
  <si>
    <t>Defesa cível</t>
  </si>
  <si>
    <t>Mark eventos</t>
  </si>
  <si>
    <t>Ação Cemig</t>
  </si>
  <si>
    <t>Breno Bacelar</t>
  </si>
  <si>
    <t>Exoneração de Pensão Alimentícia</t>
  </si>
  <si>
    <t>Valor Recebido Ronaldo</t>
  </si>
  <si>
    <t>Geraldo M Oliveira</t>
  </si>
  <si>
    <t>Valor Recebido Breno Bacelar</t>
  </si>
  <si>
    <t>Dalva/GUGU</t>
  </si>
  <si>
    <t>Ação Defesa CNH - Moderninha</t>
  </si>
  <si>
    <t>Colaborador Osvaldo</t>
  </si>
  <si>
    <t>Diligência Criminal - Banco</t>
  </si>
  <si>
    <t>Pagamento Afonso Maritá</t>
  </si>
  <si>
    <t>Parcela Zezuíto</t>
  </si>
  <si>
    <t>Livro Joao</t>
  </si>
  <si>
    <t>Audiência Trabalhista - Adv. Lucas</t>
  </si>
  <si>
    <t>Ação Faculdade</t>
  </si>
  <si>
    <t>Julio Cesar</t>
  </si>
  <si>
    <t>Ação Trabalhista - moderninha</t>
  </si>
  <si>
    <t>Fabiana</t>
  </si>
  <si>
    <t>Pagamento Prestação de Contas Afonso</t>
  </si>
  <si>
    <t>Ação Divórcio - Moderninha</t>
  </si>
  <si>
    <t>Ação de Pensão</t>
  </si>
  <si>
    <t>Laiane Epa</t>
  </si>
  <si>
    <t>Inadimplência Sidney Martins</t>
  </si>
  <si>
    <t>Escola MC</t>
  </si>
  <si>
    <t>ENTRADAS - Julho/17</t>
  </si>
  <si>
    <t>FECHAMENTO DE CAIXA - Julho</t>
  </si>
  <si>
    <t>FECHAMENTO DE CAIXA - Agosto</t>
  </si>
  <si>
    <t>PERÍODO - 11/08 A 10/09</t>
  </si>
  <si>
    <t>ENTRADAS - Agosto/17</t>
  </si>
  <si>
    <t>Belo Horizonte, 10 de setembro de 2017</t>
  </si>
  <si>
    <t>Belo Horizonte, 10 de setembro de 2017.</t>
  </si>
  <si>
    <t>Renner 03/03</t>
  </si>
  <si>
    <t>Sketch 03/05</t>
  </si>
  <si>
    <t>itapua 03/06</t>
  </si>
  <si>
    <t>Papiro 03/04</t>
  </si>
  <si>
    <t>Lima 03/04</t>
  </si>
  <si>
    <t>Mão de obra Marcivon - PIA</t>
  </si>
  <si>
    <t>Material PIA</t>
  </si>
  <si>
    <t>FLAVIA</t>
  </si>
  <si>
    <t>Ação de familia - Moderninha</t>
  </si>
  <si>
    <t>Ítalo</t>
  </si>
  <si>
    <t>Gilberto de Jesus</t>
  </si>
  <si>
    <t>tirar custo tinta etc</t>
  </si>
  <si>
    <t>telefone</t>
  </si>
  <si>
    <t>Ronderlei Gonçalves</t>
  </si>
  <si>
    <t>Ionar</t>
  </si>
  <si>
    <t>Acordo Seguradora</t>
  </si>
  <si>
    <t>Prestação de contas</t>
  </si>
  <si>
    <t>Defesa em execução</t>
  </si>
  <si>
    <t>Din. Ronderlei tirar custo tinta</t>
  </si>
  <si>
    <t>Divaldo</t>
  </si>
  <si>
    <t>Edna</t>
  </si>
  <si>
    <t>Assessoria</t>
  </si>
  <si>
    <t>Assessoria - Moderninha</t>
  </si>
  <si>
    <t>FECHAMENTO DE CAIXA - Setembro</t>
  </si>
  <si>
    <t>PERÍODO - 11/09 A 10/10</t>
  </si>
  <si>
    <t>ENTRADAS - Setembro/17</t>
  </si>
  <si>
    <t>Belo Horizonte, 10 de Outubro de 2017</t>
  </si>
  <si>
    <t>Belo Horizonte, 10 de Outubro de 2017.</t>
  </si>
  <si>
    <t>Gilberto</t>
  </si>
  <si>
    <t>Diligência criminal</t>
  </si>
  <si>
    <t>tirar custo dos vasos</t>
  </si>
  <si>
    <t>Divórcio - Moderninha</t>
  </si>
  <si>
    <t>Sketch 04/05</t>
  </si>
  <si>
    <t>itapua 04/06</t>
  </si>
  <si>
    <t>Papiro 04/04</t>
  </si>
  <si>
    <t>Lima 04/04</t>
  </si>
  <si>
    <t>Wanderson Oliveira</t>
  </si>
  <si>
    <t>Ação defesa CNH - Moderninha</t>
  </si>
  <si>
    <t>taxa vistoria marquin/vicente</t>
  </si>
  <si>
    <t>onibus  jorge pagar taxa de vistoria</t>
  </si>
  <si>
    <t>Pensão por morte</t>
  </si>
  <si>
    <t>Osvaldo de Souza</t>
  </si>
  <si>
    <t>Box apartamento vicente</t>
  </si>
  <si>
    <t>niver zaira</t>
  </si>
  <si>
    <t>Ação Shopping UAI</t>
  </si>
  <si>
    <t>Paulinho</t>
  </si>
  <si>
    <t>Mark Eventos</t>
  </si>
  <si>
    <t>Anderson Vinicius</t>
  </si>
  <si>
    <t>Alex Tataki</t>
  </si>
  <si>
    <t>Ação INSS</t>
  </si>
  <si>
    <t>Prestação de contas Afonso</t>
  </si>
  <si>
    <t>Ação de Pensão Alimenticia</t>
  </si>
  <si>
    <t>Laiane</t>
  </si>
  <si>
    <t>Renata / alexandre</t>
  </si>
  <si>
    <t>Ingredy</t>
  </si>
  <si>
    <t>Contrato de prestação de serviços</t>
  </si>
  <si>
    <t>FECHAMENTO DE CAIXA - Outubro</t>
  </si>
  <si>
    <t>PERÍODO - 11/10 A 10/11</t>
  </si>
  <si>
    <t>ENTRADAS - Outubro/17</t>
  </si>
  <si>
    <t>Ação Pitágoras</t>
  </si>
  <si>
    <t>Guiherme Raimundo</t>
  </si>
  <si>
    <t>Sketch 05/05</t>
  </si>
  <si>
    <t>itapua 05/06</t>
  </si>
  <si>
    <t>Aluguel sala</t>
  </si>
  <si>
    <t>Impressora</t>
  </si>
  <si>
    <t>Cemig outubro</t>
  </si>
  <si>
    <t>Cemig Setembro</t>
  </si>
  <si>
    <t>Acompanhamento Banco</t>
  </si>
  <si>
    <t>assessoria jurídica</t>
  </si>
  <si>
    <t>Valor Ronaldo</t>
  </si>
  <si>
    <t>Revisão de Pensão</t>
  </si>
  <si>
    <t>Elaboração de Contrato</t>
  </si>
  <si>
    <t>Valter</t>
  </si>
  <si>
    <t>Pensão</t>
  </si>
  <si>
    <t>Fabiola</t>
  </si>
  <si>
    <t>Enock</t>
  </si>
  <si>
    <t>Adolf</t>
  </si>
  <si>
    <t>Reginaldo</t>
  </si>
  <si>
    <t>Inventário - Moderninha</t>
  </si>
  <si>
    <t>Certidão Jorge</t>
  </si>
  <si>
    <t>Pintura Área Privativa</t>
  </si>
  <si>
    <t>ENTRADAS - Novembro/17</t>
  </si>
  <si>
    <t>Wesley Franklin</t>
  </si>
  <si>
    <t>Valdemar Ferreira</t>
  </si>
  <si>
    <t>Antônio Augusto</t>
  </si>
  <si>
    <t>José Domingo</t>
  </si>
  <si>
    <t>Assessoria jurídica</t>
  </si>
  <si>
    <t>Ana Paula Neves</t>
  </si>
  <si>
    <t>Noildes Barbara</t>
  </si>
  <si>
    <t>Sameque Mendes</t>
  </si>
  <si>
    <t>Maxwell</t>
  </si>
  <si>
    <t>Pensão alimentícia</t>
  </si>
  <si>
    <t>Ezequias Portela</t>
  </si>
  <si>
    <t>Thayse</t>
  </si>
  <si>
    <t>Mandado de Segurança - moderninha</t>
  </si>
  <si>
    <t>Guilherme</t>
  </si>
  <si>
    <t>Confecção de Contrato - Moderninha</t>
  </si>
  <si>
    <t>Natalino</t>
  </si>
  <si>
    <t>Aposentadoria</t>
  </si>
  <si>
    <t>Anderson Pereira Rodrigues</t>
  </si>
  <si>
    <t>Ação Trabalhista</t>
  </si>
  <si>
    <t>Acompanhamento Trânsito - 800 moderninha 100 a vista</t>
  </si>
  <si>
    <t>Maurílio Gonçalves</t>
  </si>
  <si>
    <t>Ação em Betim</t>
  </si>
  <si>
    <t>Tatiane</t>
  </si>
  <si>
    <t>ENTRADAS - Dezembro/17</t>
  </si>
  <si>
    <t>PERÍODO - 11/11 A 10/12</t>
  </si>
  <si>
    <t>itapua 06/06</t>
  </si>
  <si>
    <t>ENTRADAS - Janeiro/18</t>
  </si>
  <si>
    <t>Belo Horizonte, 10 de Fevereiro de 2018</t>
  </si>
  <si>
    <t>Belo Horizonte, 10 de Janeiro de 2018</t>
  </si>
  <si>
    <t>Pensão alimentícia - 962,10 moderninha</t>
  </si>
  <si>
    <t>Recurso Multa - Moderninha</t>
  </si>
  <si>
    <t>Marcilia</t>
  </si>
  <si>
    <t>Gizele  Rosa</t>
  </si>
  <si>
    <t>Audiência Criminal - moderninha</t>
  </si>
  <si>
    <t>Vania CFC</t>
  </si>
  <si>
    <t>Belo Horizonte, 10 de Fevereiro de 2018.</t>
  </si>
  <si>
    <t>Pensão alimentícia - banco</t>
  </si>
  <si>
    <t>Rayra</t>
  </si>
  <si>
    <t>Juan Cesar</t>
  </si>
  <si>
    <t>Assessoria Jurídica</t>
  </si>
  <si>
    <t>Gabriel</t>
  </si>
  <si>
    <t>maria mendes</t>
  </si>
  <si>
    <t>Carlos Ramos de Deus</t>
  </si>
  <si>
    <t>Ação de dano moral</t>
  </si>
  <si>
    <t>Camila Lais</t>
  </si>
  <si>
    <t>Janaina Fernandes</t>
  </si>
  <si>
    <t>Belo Horizonte, 10 de Março de 2018</t>
  </si>
  <si>
    <t>ENTRADAS - Fevereiro/18</t>
  </si>
  <si>
    <t>Ação cível</t>
  </si>
  <si>
    <t>Anuidades OAB</t>
  </si>
  <si>
    <t>Emanoel Moises</t>
  </si>
  <si>
    <t>Gislene IPMMI</t>
  </si>
  <si>
    <t>Vander Lucio</t>
  </si>
  <si>
    <t>Samuel Costa Neto</t>
  </si>
  <si>
    <t>Imissão na posse - moderninha</t>
  </si>
  <si>
    <t>Nelto</t>
  </si>
  <si>
    <t>Acompanhamento Trânsito - moderninha</t>
  </si>
  <si>
    <t>Anderson</t>
  </si>
  <si>
    <t>Felipe</t>
  </si>
  <si>
    <t>Belo Horizonte, 10 de Abril de 2018</t>
  </si>
  <si>
    <t>Belo Horizonte, 10 de Abril de 2018.</t>
  </si>
  <si>
    <t>ENTRADAS - Março/18</t>
  </si>
  <si>
    <t>Vicente</t>
  </si>
  <si>
    <t>Imóvel</t>
  </si>
  <si>
    <t>Ação responsabilidade veículo - moderninha</t>
  </si>
  <si>
    <t>Vicente/Marquinhos</t>
  </si>
  <si>
    <t>Acerto Jorge</t>
  </si>
  <si>
    <t>Visto João</t>
  </si>
  <si>
    <t>Kethelen</t>
  </si>
  <si>
    <t>Carlos Alberto</t>
  </si>
  <si>
    <t>Contrarrazões - Moderninha</t>
  </si>
  <si>
    <t>Warlen</t>
  </si>
  <si>
    <t>Incluir contas</t>
  </si>
  <si>
    <t>Acordo trabalhista</t>
  </si>
  <si>
    <t>Izabel</t>
  </si>
  <si>
    <t>Paulo Cesar</t>
  </si>
  <si>
    <t>Acompanhamento de Transito - moderninha</t>
  </si>
  <si>
    <t>Cristiane</t>
  </si>
  <si>
    <t>Belo Horizonte, 10 de maio de 2018</t>
  </si>
  <si>
    <t>ENTRADAS - Abril/18</t>
  </si>
  <si>
    <t>ENTRADAS - Maio/18</t>
  </si>
  <si>
    <t>Defesa Trabalhista - moderninha</t>
  </si>
  <si>
    <t>Luisa</t>
  </si>
  <si>
    <t>Contrarrazões Processo Cível</t>
  </si>
  <si>
    <t>Marcos Antônio</t>
  </si>
  <si>
    <t>Defesa Multas</t>
  </si>
  <si>
    <t>Ação Previdenciária - parte moderninha</t>
  </si>
  <si>
    <t>Julio  Cesar</t>
  </si>
  <si>
    <t>Maria Izabel</t>
  </si>
  <si>
    <t>Negativação indevida</t>
  </si>
  <si>
    <t>Rayssa</t>
  </si>
  <si>
    <t>Alexandre Torga</t>
  </si>
  <si>
    <t>Suely torga</t>
  </si>
  <si>
    <t>Negativação Indevida</t>
  </si>
  <si>
    <t>Claudia Mônica</t>
  </si>
  <si>
    <t>ENTRADAS - Junho/18</t>
  </si>
  <si>
    <t>Belo Horizonte, 10 de julho de 2018</t>
  </si>
  <si>
    <t>Belo Horizonte, 10 de julho de 2018.</t>
  </si>
  <si>
    <t>Ação Motocicleta</t>
  </si>
  <si>
    <t>Ação Betim</t>
  </si>
  <si>
    <t>Eliane carlos</t>
  </si>
  <si>
    <t>Wesley S Moreira</t>
  </si>
  <si>
    <t>Ação de danos - Moderninha</t>
  </si>
  <si>
    <t>Luiza</t>
  </si>
  <si>
    <t>Defesa - Pensão Alimentícia - Moderninha</t>
  </si>
  <si>
    <t>Renato</t>
  </si>
  <si>
    <t>Pagamento trabalhista - moderninha</t>
  </si>
  <si>
    <t>Diego de Paula</t>
  </si>
  <si>
    <t>Marcos Pedreiro</t>
  </si>
  <si>
    <t>Caçamba</t>
  </si>
  <si>
    <t>Diligência Contagem processo trabalhista</t>
  </si>
  <si>
    <t>Maria/Osvaldo</t>
  </si>
  <si>
    <t>Igor Assis Alves</t>
  </si>
  <si>
    <t>Diligência Tribunal</t>
  </si>
  <si>
    <t>Marialice / Benedito</t>
  </si>
  <si>
    <t>Execução Trabalhista</t>
  </si>
  <si>
    <t>Janio Josete</t>
  </si>
  <si>
    <t>Wesley Santana Moreira</t>
  </si>
  <si>
    <t>Acordo INSS</t>
  </si>
  <si>
    <t>Francisco Jacinto Leite</t>
  </si>
  <si>
    <t>Contas</t>
  </si>
  <si>
    <t>Belo Horizonte, 10 de agosto de 2018.</t>
  </si>
  <si>
    <t>Belo Horizonte, 10 de agosto de 2018</t>
  </si>
  <si>
    <t>ENTRADAS - Julho/18</t>
  </si>
  <si>
    <t>ENTRADAS - Agosto/18</t>
  </si>
  <si>
    <t>Belo Horizonte, 10 de setembro de 2018</t>
  </si>
  <si>
    <t>Igor Alves</t>
  </si>
  <si>
    <t>Recurso de multas - 720 - moderninha</t>
  </si>
  <si>
    <t>Bruno Lage</t>
  </si>
  <si>
    <t>Cristiane de Paula</t>
  </si>
  <si>
    <t>Andreia Liberia</t>
  </si>
  <si>
    <t>Aline Mendes</t>
  </si>
  <si>
    <t>Penhora - Depositário - Dona Xepa</t>
  </si>
  <si>
    <t>Belo Horizonte, 10 de setembro de 2018.</t>
  </si>
  <si>
    <t>Diligência ao INSS</t>
  </si>
  <si>
    <t>Maria de Fátima</t>
  </si>
  <si>
    <t>Acordo em Exibitória</t>
  </si>
  <si>
    <t>Exoneração de Pensão - moderninha 1500</t>
  </si>
  <si>
    <t>Edmilson</t>
  </si>
  <si>
    <t>Paloma Stephanie</t>
  </si>
  <si>
    <t>Ação previdenciária</t>
  </si>
  <si>
    <t>Ação cível - MODERNINHA 3.000,00 - 13/10/2018</t>
  </si>
  <si>
    <t>Ação Vara da infância e juventude</t>
  </si>
  <si>
    <t>ENTRADAS - Setembro/18</t>
  </si>
  <si>
    <t>Lajes Pimenta/Hilda</t>
  </si>
  <si>
    <t>Marcia Duarte</t>
  </si>
  <si>
    <t>Comercial Pemali Marcos</t>
  </si>
  <si>
    <t>ENTRADAS - Outubro/18</t>
  </si>
  <si>
    <t>Oscar</t>
  </si>
  <si>
    <t>Miller Martins</t>
  </si>
  <si>
    <t>Estagiária Joyce</t>
  </si>
  <si>
    <t>Sebastião Caetano</t>
  </si>
  <si>
    <t>Hilda Lajes Pimenta</t>
  </si>
  <si>
    <t>Ação Previdenciária</t>
  </si>
  <si>
    <t>Prestação Zezuíto (Duda) equivalente a R$6.000,00 (10 meses)</t>
  </si>
  <si>
    <t>ENTRADAS - Novembro/18</t>
  </si>
  <si>
    <t>João Carlos da Silva</t>
  </si>
  <si>
    <t>Contrato</t>
  </si>
  <si>
    <t>Acompanhamento JECRIM</t>
  </si>
  <si>
    <t>Maria Alves Salermos</t>
  </si>
  <si>
    <t>Ação trabalhista</t>
  </si>
  <si>
    <t>Thiago Felipe Meireles</t>
  </si>
  <si>
    <t>Estagiário Matheus</t>
  </si>
  <si>
    <t>Estagiário Breno</t>
  </si>
  <si>
    <t>Zezuíto</t>
  </si>
  <si>
    <t>Contas Suely</t>
  </si>
  <si>
    <t>Açucar e Adoçante</t>
  </si>
  <si>
    <t>Belo Horizonte, 10 de Dezembro de 2018.</t>
  </si>
  <si>
    <t>Defesa Penal Militar</t>
  </si>
  <si>
    <t>Reny Rodrigues</t>
  </si>
  <si>
    <t>Esfregão MOP</t>
  </si>
  <si>
    <t>Apelação Cível</t>
  </si>
  <si>
    <t>Aidê Matos</t>
  </si>
  <si>
    <t>cemig</t>
  </si>
  <si>
    <t>Consultoria Previdênciaria</t>
  </si>
  <si>
    <t>cemig dezembro</t>
  </si>
  <si>
    <t>Eriane Mendes</t>
  </si>
  <si>
    <t>Consultoria Divórcio</t>
  </si>
  <si>
    <t>Walquiria das Graças</t>
  </si>
  <si>
    <t>Estágiario Breno</t>
  </si>
  <si>
    <t>Honorários trabalhistas</t>
  </si>
  <si>
    <t>André</t>
  </si>
  <si>
    <t>Queixa Crime</t>
  </si>
  <si>
    <t>Juracy Geronimo Sampaio</t>
  </si>
  <si>
    <t>Débora Cristiane</t>
  </si>
  <si>
    <t>Cheque Joaquim Salerme</t>
  </si>
  <si>
    <t>Seguro 01</t>
  </si>
  <si>
    <t>Pag. IPTU</t>
  </si>
  <si>
    <t>Ailton Lobo</t>
  </si>
  <si>
    <t>Bruno Neves</t>
  </si>
  <si>
    <t>Belo Horizonte, 10 de dezembro de 2018</t>
  </si>
  <si>
    <t>Recurso Administrativo MGS</t>
  </si>
  <si>
    <t>Sandra Maria</t>
  </si>
  <si>
    <t>Kenia Mara</t>
  </si>
  <si>
    <t>Patrícia Quintino</t>
  </si>
  <si>
    <t>Breno</t>
  </si>
  <si>
    <t>Contas CEMIG E COPASA</t>
  </si>
  <si>
    <t>Acompanhamento processo</t>
  </si>
  <si>
    <t>Claiton Mendes</t>
  </si>
  <si>
    <t>Adão Teodoro</t>
  </si>
  <si>
    <t>Belo Horizonte, 10 de janeiro de 2019</t>
  </si>
  <si>
    <t>Belo Horizonte, 10 de Janeiro de 2019.</t>
  </si>
  <si>
    <t>ENTRADAS - Dezembro/19</t>
  </si>
  <si>
    <t>ENTRADAS - Janeiro/19</t>
  </si>
  <si>
    <t>Belo Horizonte, 10 de fevereiro de 2019</t>
  </si>
  <si>
    <t>Belo Horizonte, 10 de Fevereiro de 2019.</t>
  </si>
  <si>
    <t>Acerto Breno</t>
  </si>
  <si>
    <t>IPVA + Licenciamento</t>
  </si>
  <si>
    <t>Guilherme Julio Silva</t>
  </si>
  <si>
    <t>Diligência Cartorária</t>
  </si>
  <si>
    <t>Débora</t>
  </si>
  <si>
    <t>Adriana</t>
  </si>
  <si>
    <t>Eriane</t>
  </si>
  <si>
    <t>Assessoria jurídica - não é todo valor do anfrisio tem outro cheque</t>
  </si>
  <si>
    <t>Quadro</t>
  </si>
  <si>
    <t>Patrícia Pereira Quirino</t>
  </si>
  <si>
    <t>Kethelen Rúbia</t>
  </si>
  <si>
    <t>Divórcio 850 din. 875 moderninha 848,07</t>
  </si>
  <si>
    <t>Emitir Certidões Cartorárias</t>
  </si>
  <si>
    <t>Processo Previdenciário</t>
  </si>
  <si>
    <t>Divórcio 875 + 900 - ambos moderninha</t>
  </si>
  <si>
    <t>OAB 1/05</t>
  </si>
  <si>
    <t>Maria Auxiliadora</t>
  </si>
  <si>
    <t>Defesa cível - pagou em gasolina</t>
  </si>
  <si>
    <t>Entrada processo previdenciário</t>
  </si>
  <si>
    <t>Rosangela de Fátima</t>
  </si>
  <si>
    <t>Diligência no Fórum</t>
  </si>
  <si>
    <t>Pastor Edilson</t>
  </si>
  <si>
    <t>Belo Horizonte, 10 de março de 2019</t>
  </si>
  <si>
    <t>Belo Horizonte, 10 de Março de 2019.</t>
  </si>
  <si>
    <t>Belo Horizonte, 10 de Março de 2019</t>
  </si>
  <si>
    <t>ENTRADAS - Fevereiro/19</t>
  </si>
  <si>
    <t>Aurita</t>
  </si>
  <si>
    <t>Entrada Previdenciário</t>
  </si>
  <si>
    <t>Declaratória de Propriedade</t>
  </si>
  <si>
    <t>Sampaio</t>
  </si>
  <si>
    <t>Debora Cristiana</t>
  </si>
  <si>
    <t>Salário Felipe</t>
  </si>
  <si>
    <t>Eder</t>
  </si>
  <si>
    <t>Cheques GUGU</t>
  </si>
  <si>
    <t>Acerto Felipe</t>
  </si>
  <si>
    <t>IPVA 2ª</t>
  </si>
  <si>
    <t>Geladeira 2/12</t>
  </si>
  <si>
    <t>Jais Assunção</t>
  </si>
  <si>
    <t>Jamir Aziz</t>
  </si>
  <si>
    <t>Procuração Ronei</t>
  </si>
  <si>
    <t>Ação previdenciária (moderninha R$1.000,00)</t>
  </si>
  <si>
    <t>Antonio Augusto</t>
  </si>
  <si>
    <t>Leandra Regina e Ronaldo</t>
  </si>
  <si>
    <t>Defesa Juizado - Pagou em Gasolina</t>
  </si>
  <si>
    <t>Julio Cesar Guimarães</t>
  </si>
  <si>
    <t>Fabiana Silva Lima</t>
  </si>
  <si>
    <t>Rádio</t>
  </si>
  <si>
    <t>OAB 2/05</t>
  </si>
  <si>
    <t>ENTRADAS - Março/19</t>
  </si>
  <si>
    <t>Belo Horizonte, 10 de abril de 2019</t>
  </si>
  <si>
    <t>Belo Horizonte, 10 de Abril de 2019.</t>
  </si>
  <si>
    <t>Belo Horizonte, 10 de Abril de 2019</t>
  </si>
  <si>
    <t>IPVA 3ª</t>
  </si>
  <si>
    <t>Geladeira 3/12</t>
  </si>
  <si>
    <t>OAB 03/05</t>
  </si>
  <si>
    <t xml:space="preserve">Elaine </t>
  </si>
  <si>
    <t>Talita Tabata</t>
  </si>
  <si>
    <t>Bianca Gabriele</t>
  </si>
  <si>
    <t>Patricia Pereira</t>
  </si>
  <si>
    <t>Kethelen Rubia</t>
  </si>
  <si>
    <t>Ação cível - Pagou 900 moderninha</t>
  </si>
  <si>
    <t>Joaquim Salerme</t>
  </si>
  <si>
    <t>Cheque</t>
  </si>
  <si>
    <t>Edivaldo Garcia da Silva</t>
  </si>
  <si>
    <t>Maquina 01/08</t>
  </si>
  <si>
    <t>Alaíde Dias</t>
  </si>
  <si>
    <t>Cesar Samuel</t>
  </si>
  <si>
    <t>Cálculo Trabalhista</t>
  </si>
  <si>
    <t>Claudinei</t>
  </si>
  <si>
    <t>Ação declaratória</t>
  </si>
  <si>
    <t>Locutor Cleber</t>
  </si>
  <si>
    <t>Faxina</t>
  </si>
  <si>
    <t>Geladeira 01/12</t>
  </si>
  <si>
    <t>Seguro 2</t>
  </si>
  <si>
    <t>Seguro Fit 3</t>
  </si>
  <si>
    <t>Seguro Fit 4</t>
  </si>
  <si>
    <t>Seguro Fit 5</t>
  </si>
  <si>
    <t>Seguro Fit  6/6</t>
  </si>
  <si>
    <t>Geladeira 4/12</t>
  </si>
  <si>
    <t>OAB 04/05</t>
  </si>
  <si>
    <t>Maquina 02/08</t>
  </si>
  <si>
    <t>Belo Horizonte, 10 de Maio de 2019</t>
  </si>
  <si>
    <t>Belo Horizonte, 10 de Maio de 2019.</t>
  </si>
  <si>
    <t>Filipe Lacerda</t>
  </si>
  <si>
    <t>Marlene</t>
  </si>
  <si>
    <t>Laryssa Lorrayne</t>
  </si>
  <si>
    <t>Viagem</t>
  </si>
  <si>
    <t xml:space="preserve">Juracy </t>
  </si>
  <si>
    <t>Patrícia</t>
  </si>
  <si>
    <t>Alaíde</t>
  </si>
  <si>
    <t>Carma Helena</t>
  </si>
  <si>
    <t>Ação Locagerais</t>
  </si>
  <si>
    <t>Ação Revisional</t>
  </si>
  <si>
    <t>José Domingos Caminhão</t>
  </si>
  <si>
    <t>Ação trabalhista CAT</t>
  </si>
  <si>
    <t>Fernanda</t>
  </si>
  <si>
    <t>Paulo Rodrigues da Silva</t>
  </si>
  <si>
    <t>Geladeira 5/12</t>
  </si>
  <si>
    <t>OAB 05/05</t>
  </si>
  <si>
    <t>Maquina 03/08</t>
  </si>
  <si>
    <t>Belo Horizonte, 10 de Junho de 2019.</t>
  </si>
  <si>
    <t>Belo Horizonte, 10 de Junho de 2019</t>
  </si>
  <si>
    <t>ENTRADAS - Maio/19</t>
  </si>
  <si>
    <t>ENTRADAS - Abril/19</t>
  </si>
  <si>
    <t>Telefone maio</t>
  </si>
  <si>
    <t>Telefone Abril</t>
  </si>
  <si>
    <t>107 FM</t>
  </si>
  <si>
    <t>Algar internet</t>
  </si>
  <si>
    <t>Ítalo Colen</t>
  </si>
  <si>
    <t>Cartão BB 29/04 a 13/05</t>
  </si>
  <si>
    <t>Felipe Lacerda</t>
  </si>
  <si>
    <t>Lajes Pimenta</t>
  </si>
  <si>
    <t>Manuela</t>
  </si>
  <si>
    <t>Katia</t>
  </si>
  <si>
    <t>Paulo Carneiro</t>
  </si>
  <si>
    <t>Samuel Silva</t>
  </si>
  <si>
    <t>PR Ind Com de Moveis</t>
  </si>
  <si>
    <t>VIVEST</t>
  </si>
  <si>
    <t>VARECOM (01/03)</t>
  </si>
  <si>
    <t>HARVEST</t>
  </si>
  <si>
    <t>NET</t>
  </si>
  <si>
    <t>Processo Trabalhista</t>
  </si>
  <si>
    <t>Oscar Sebastião</t>
  </si>
  <si>
    <t>Documento caminhão</t>
  </si>
  <si>
    <t>Entrada previdenciário</t>
  </si>
  <si>
    <t>Depesas Detran</t>
  </si>
  <si>
    <t>Edvaldo</t>
  </si>
  <si>
    <t>Marcus Vinicius</t>
  </si>
  <si>
    <t>Maquininha</t>
  </si>
  <si>
    <t>Francisco Fábio</t>
  </si>
  <si>
    <t>Douglas Junio</t>
  </si>
  <si>
    <t>Rita Divino</t>
  </si>
  <si>
    <t>Roberto Magno</t>
  </si>
  <si>
    <t>ENTRADAS - Junho/19</t>
  </si>
  <si>
    <t>Geladeira 06/12</t>
  </si>
  <si>
    <t>Maquina 04/08</t>
  </si>
  <si>
    <t>VARECOM (02/03)</t>
  </si>
  <si>
    <t>Araújo</t>
  </si>
  <si>
    <t>Los Hermanos Pizza</t>
  </si>
  <si>
    <t>Para gasolina</t>
  </si>
  <si>
    <t>Oi S.A</t>
  </si>
  <si>
    <t>Supermercados BH</t>
  </si>
  <si>
    <t>Ormimaq 1/4</t>
  </si>
  <si>
    <t>Compra ação Miller</t>
  </si>
  <si>
    <t>Cemig e Copasa</t>
  </si>
  <si>
    <t>Procuração GUGU moto</t>
  </si>
  <si>
    <t>Miller</t>
  </si>
  <si>
    <t>Ação de retificação de registro</t>
  </si>
  <si>
    <t>Elisangela</t>
  </si>
  <si>
    <t>Belo Horizonte, 10 de Julho de 2019.</t>
  </si>
  <si>
    <t>Belo Horizonte, 10 de Julho de 2019</t>
  </si>
  <si>
    <t>Samuel</t>
  </si>
  <si>
    <t>Pagamento trabalhista</t>
  </si>
  <si>
    <t>Wendel</t>
  </si>
  <si>
    <t>Telefone escritório</t>
  </si>
  <si>
    <t>Edivaldo</t>
  </si>
  <si>
    <t>Fernanda Aparecida</t>
  </si>
  <si>
    <t>Edney</t>
  </si>
  <si>
    <t>Recurso multa</t>
  </si>
  <si>
    <t>Recuperação de alvará trabalhista</t>
  </si>
  <si>
    <t>Hotel Imbassaí 1/2</t>
  </si>
  <si>
    <t>Uber Sarafina</t>
  </si>
  <si>
    <t>Defesa criminal</t>
  </si>
  <si>
    <t>Ação cível MEGAMINAS</t>
  </si>
  <si>
    <t>Custas Itaguara</t>
  </si>
  <si>
    <t>Dinheiro para viajar para o Rio</t>
  </si>
  <si>
    <t>Eder + Madeiras</t>
  </si>
  <si>
    <t>Caminhão</t>
  </si>
  <si>
    <t>móveis escritório 01/04</t>
  </si>
  <si>
    <t>Passaporte</t>
  </si>
  <si>
    <t>Cálculos Diego X Suely</t>
  </si>
  <si>
    <t>Revisional</t>
  </si>
  <si>
    <t>Diferença faltante Eder</t>
  </si>
  <si>
    <t>Atrasados Anfrisio e Samuel</t>
  </si>
  <si>
    <t>Compra ação Roberto Magno</t>
  </si>
  <si>
    <t>ENTRADAS - Julho/19</t>
  </si>
  <si>
    <t>SAÍDAS - JULHO/19</t>
  </si>
  <si>
    <t>Geladeira 07/12</t>
  </si>
  <si>
    <t>Maquina 05/08</t>
  </si>
  <si>
    <t>VARECOM (03/03)</t>
  </si>
  <si>
    <t>Hotel Imbassaí 2/2</t>
  </si>
  <si>
    <t>Ormimaq 2/4</t>
  </si>
  <si>
    <t>móveis escritório 02/04</t>
  </si>
  <si>
    <t>Jamir Aziz Farah</t>
  </si>
  <si>
    <t>Transferência Maria Gomes (pedido whatsapp)</t>
  </si>
  <si>
    <t>Pagamento advogada Caxias do Sul</t>
  </si>
  <si>
    <t>Sarafina 400 + 220 da bateria</t>
  </si>
  <si>
    <t>Sircrecia - Fatura + Passaporte</t>
  </si>
  <si>
    <t>Defesa cível - cheque compensado dia 12/07</t>
  </si>
  <si>
    <t>Revisional - cheque compensado dia 12/07</t>
  </si>
  <si>
    <t>Rita Divino / Liper</t>
  </si>
  <si>
    <t>Defesa Pensão</t>
  </si>
  <si>
    <t>Ação cível - passou 500 na moderninha</t>
  </si>
  <si>
    <t>Cemig escritório</t>
  </si>
  <si>
    <t>vale</t>
  </si>
  <si>
    <t>Marlene das Dores</t>
  </si>
  <si>
    <t>Publicação APAC</t>
  </si>
  <si>
    <t>Copasa Escritório</t>
  </si>
  <si>
    <t>Postagens Cheques</t>
  </si>
  <si>
    <t>Plano de saúde</t>
  </si>
  <si>
    <t>Venda da Estação de trabalho</t>
  </si>
  <si>
    <t>Leonardo</t>
  </si>
  <si>
    <t>Carlos Câmara</t>
  </si>
  <si>
    <t>Recurso de multa</t>
  </si>
  <si>
    <t>Marcos Antonio</t>
  </si>
  <si>
    <t>Din Carlos Camara</t>
  </si>
  <si>
    <t>Venda Caminhão</t>
  </si>
  <si>
    <t>Ação Roberto Magno</t>
  </si>
  <si>
    <t>Dinheiro FDS</t>
  </si>
  <si>
    <t>Cheques Samuel/Anfrisio</t>
  </si>
  <si>
    <t xml:space="preserve">Raimundo </t>
  </si>
  <si>
    <t>Sebastião Carneiro</t>
  </si>
  <si>
    <t>Leonardo Duarte Hilário</t>
  </si>
  <si>
    <t>Ação PPP</t>
  </si>
  <si>
    <t>Marcio Roberto Pinto</t>
  </si>
  <si>
    <t>Celular Coan 1/4</t>
  </si>
  <si>
    <t>Geladeira 08/12</t>
  </si>
  <si>
    <t>Maquina 06/08</t>
  </si>
  <si>
    <t>Ormimaq 3/4</t>
  </si>
  <si>
    <t>Ação revisional</t>
  </si>
  <si>
    <t>móveis escritório 03/04</t>
  </si>
  <si>
    <t>Ação Roberto Magno 3/10</t>
  </si>
  <si>
    <t>Celular Coan 2/4</t>
  </si>
  <si>
    <t>Miller Martins Pinto</t>
  </si>
  <si>
    <t>Sandro</t>
  </si>
  <si>
    <t>Confeccção de contrato</t>
  </si>
  <si>
    <t>Juarez</t>
  </si>
  <si>
    <t>plano de saúde</t>
  </si>
  <si>
    <t>TED Inter</t>
  </si>
  <si>
    <t>Curatela</t>
  </si>
  <si>
    <t>Noeme</t>
  </si>
  <si>
    <t>Ana Rosa</t>
  </si>
  <si>
    <t>Renato do Nascimento</t>
  </si>
  <si>
    <t>Olivan 01/04</t>
  </si>
  <si>
    <t>Valéria Meireles</t>
  </si>
  <si>
    <t>Rosangela</t>
  </si>
  <si>
    <t>Documentos gol Ronei</t>
  </si>
  <si>
    <t>Acordo josé domingos</t>
  </si>
  <si>
    <t>Visto</t>
  </si>
  <si>
    <t>Marcio</t>
  </si>
  <si>
    <t>ENTRADAS - Setembro/19</t>
  </si>
  <si>
    <t>ENTRADAS - Agosto/19</t>
  </si>
  <si>
    <t>Geladeira 09/12</t>
  </si>
  <si>
    <t>Maquina 07/08</t>
  </si>
  <si>
    <t>Ormimaq 4/4</t>
  </si>
  <si>
    <t>Olivan 02/04</t>
  </si>
  <si>
    <t>móveis escritório 04/04</t>
  </si>
  <si>
    <t>Ação Roberto Magno 4/10</t>
  </si>
  <si>
    <t>Celular Coan 3/4</t>
  </si>
  <si>
    <t>Katiane</t>
  </si>
  <si>
    <t>Cobrança de Cheques - Maicon Douglas</t>
  </si>
  <si>
    <t>Cobrança de Cheques - Raimundo Queiroz de Araújo</t>
  </si>
  <si>
    <t>Despesas Josiane X Delvanir</t>
  </si>
  <si>
    <t>Despesas Cartório Zezuíto</t>
  </si>
  <si>
    <t>Plano de Saúde</t>
  </si>
  <si>
    <t>Defesa Administrativa</t>
  </si>
  <si>
    <t>Vale Viagem RJ</t>
  </si>
  <si>
    <t>Passagem RJ</t>
  </si>
  <si>
    <t>Fiação escritório (01/02)</t>
  </si>
  <si>
    <t>Felipe Santiago Silva</t>
  </si>
  <si>
    <t>SAÍDAS - AGOSTO/19</t>
  </si>
  <si>
    <t>SAÍDAS - SETEMBRO/19</t>
  </si>
  <si>
    <t>Ações Indenizatórias aviação</t>
  </si>
  <si>
    <t>Antonio Augusto Silva</t>
  </si>
  <si>
    <t>04 Multas</t>
  </si>
  <si>
    <t>cemig escritório</t>
  </si>
  <si>
    <t>José Roberto Ferreira</t>
  </si>
  <si>
    <t>Thiago Henrique</t>
  </si>
  <si>
    <t>Estacionamento Coan</t>
  </si>
  <si>
    <t>Marcelo Sérgio de Castro</t>
  </si>
  <si>
    <t>Debora Silva de Cristo</t>
  </si>
  <si>
    <t>Diego de Paulo Eleutério</t>
  </si>
  <si>
    <t>Honorários Acordo Trabalhista</t>
  </si>
  <si>
    <t>Juscelino Espechit</t>
  </si>
  <si>
    <t>Thais Nery da Matta</t>
  </si>
  <si>
    <t>Previdenciário</t>
  </si>
  <si>
    <t>Vale deixado no caixa</t>
  </si>
  <si>
    <t>Sandro Souza</t>
  </si>
  <si>
    <t>Leonardo Duarte</t>
  </si>
  <si>
    <t>Ação Roberto Magno 5/10</t>
  </si>
  <si>
    <t>Celular Coan 4/4</t>
  </si>
  <si>
    <t>Fiação escritório (02/02)</t>
  </si>
  <si>
    <t>Geladeira 10/12</t>
  </si>
  <si>
    <t>Maquina 08/08</t>
  </si>
  <si>
    <t>Olivan 03/04</t>
  </si>
  <si>
    <t>Cobrança de Cheques - Maria José Lourenço</t>
  </si>
  <si>
    <t>Vale FDS</t>
  </si>
  <si>
    <t>Banco do Brasil</t>
  </si>
  <si>
    <t>Rogério Rodrigues da Silva</t>
  </si>
  <si>
    <t>Ação Caminhonete Elifas</t>
  </si>
  <si>
    <t>Diferença de sobra ação Adelmário</t>
  </si>
  <si>
    <t>Ação CDL</t>
  </si>
  <si>
    <t>CDL</t>
  </si>
  <si>
    <t>Paula Tampieri</t>
  </si>
  <si>
    <t>Honorários Contador Charles APAC</t>
  </si>
  <si>
    <t>DARF Receita Federal APAC</t>
  </si>
  <si>
    <t>Telefone escritório setembro</t>
  </si>
  <si>
    <t>Telefone escritório Outubro</t>
  </si>
  <si>
    <t>Teclado</t>
  </si>
  <si>
    <t>Carlos Camara</t>
  </si>
  <si>
    <t>Ação de divórcio - Moderninha R$4.000,00</t>
  </si>
  <si>
    <t>Diligência</t>
  </si>
  <si>
    <t>Roberto / Lourdes</t>
  </si>
  <si>
    <t>Michelle Araújo</t>
  </si>
  <si>
    <t>Ação imóvel</t>
  </si>
  <si>
    <t>Lourdes</t>
  </si>
  <si>
    <t>FBAC - APAC</t>
  </si>
  <si>
    <t>Notificação Extrajudicial</t>
  </si>
  <si>
    <t>Rogério</t>
  </si>
  <si>
    <t>Hotel Atlântico</t>
  </si>
  <si>
    <t>Uber</t>
  </si>
  <si>
    <t>Pratique 01/12</t>
  </si>
  <si>
    <t>Nota falsa</t>
  </si>
  <si>
    <t>Pen Drive</t>
  </si>
  <si>
    <t>Gasolina Sirley</t>
  </si>
  <si>
    <t>FECHAMENTO - Outubro</t>
  </si>
  <si>
    <t>IFOOD 13/09-18/10</t>
  </si>
  <si>
    <t>Eletrof. 01/02</t>
  </si>
  <si>
    <t>Ação Roberto Magno 6/10</t>
  </si>
  <si>
    <t>Geladeira 11/12</t>
  </si>
  <si>
    <t>Olivan 04/04</t>
  </si>
  <si>
    <t>Eletrof. 02/02</t>
  </si>
  <si>
    <t>Pratique 02/12</t>
  </si>
  <si>
    <t>FECHAMENTO - Novembro</t>
  </si>
  <si>
    <t>ENTRADAS - Novembro/19</t>
  </si>
  <si>
    <t>SAÍDAS - NOVEMBRO/19</t>
  </si>
  <si>
    <t>ENTRADAS - Outubro/19</t>
  </si>
  <si>
    <t>SAÍDAS - Outubro/19</t>
  </si>
  <si>
    <t>Motivo</t>
  </si>
  <si>
    <t>Atendimento/Consultoria</t>
  </si>
  <si>
    <t>Audiência Lucas Andreolly - Cliente Renaldo</t>
  </si>
  <si>
    <t>Transferência de imóvel</t>
  </si>
  <si>
    <t>Rosana</t>
  </si>
  <si>
    <t>Cheque pagamento assessoria</t>
  </si>
  <si>
    <t>Cobranças Cheques - José Lourenço de Aguiar</t>
  </si>
  <si>
    <t>Moto harley</t>
  </si>
  <si>
    <t>CEMIG Outubro</t>
  </si>
  <si>
    <t>Consultoria</t>
  </si>
  <si>
    <t>Geovana</t>
  </si>
  <si>
    <t>Documentos Harley</t>
  </si>
  <si>
    <t>Defesa Trabalhista - Moderninha</t>
  </si>
  <si>
    <t>2 parcelas IPVA gol Ronei</t>
  </si>
  <si>
    <t>Plano de saúde Sircrecia</t>
  </si>
  <si>
    <t>Carlos / Pastor Moises</t>
  </si>
  <si>
    <t>Passou 900 crédito moderninha</t>
  </si>
  <si>
    <t>Passou 600 débito moderninha</t>
  </si>
  <si>
    <t>Moderninha - R$2.000,00</t>
  </si>
  <si>
    <t>Inventário Extrajudicial débito 300 moderninha</t>
  </si>
  <si>
    <t>Renata Cristina</t>
  </si>
  <si>
    <t>Salatiel</t>
  </si>
  <si>
    <t>FECHAMENTO - Dezembro</t>
  </si>
  <si>
    <t>Geladeira 12/12</t>
  </si>
  <si>
    <t>Pratique 03/12</t>
  </si>
  <si>
    <t>Ação cível Apple</t>
  </si>
  <si>
    <t>Ação Roberto Magno 7/10</t>
  </si>
  <si>
    <t>SAÍDAS - Dezembro/19</t>
  </si>
  <si>
    <t>Escritura</t>
  </si>
  <si>
    <t>Rosane</t>
  </si>
  <si>
    <t>Pagamento Sirley</t>
  </si>
  <si>
    <t>Pagamento assessoria</t>
  </si>
  <si>
    <t>Ifood</t>
  </si>
  <si>
    <t>Pontofrio</t>
  </si>
  <si>
    <t>Ifood 22/10 - 16-11</t>
  </si>
  <si>
    <t>LJ ELETRICA 1/3</t>
  </si>
  <si>
    <t>Cobranças Cheques - Raimundo Queiroz</t>
  </si>
  <si>
    <t>Ação banco BMG</t>
  </si>
  <si>
    <t>CEMIG ATRASADA 01/2019</t>
  </si>
  <si>
    <t>Notificação trabalhista</t>
  </si>
  <si>
    <t>Pagamento GOL RONEI</t>
  </si>
  <si>
    <t>Lorena</t>
  </si>
  <si>
    <t>Multas FIT</t>
  </si>
  <si>
    <t>Elias Pos</t>
  </si>
  <si>
    <t>CEMIG escritório</t>
  </si>
  <si>
    <t>Leandro Xisto</t>
  </si>
  <si>
    <t>Transferência JORGE</t>
  </si>
  <si>
    <t>FECHAMENTO - Janeiro</t>
  </si>
  <si>
    <t>ENTRADAS - Janeiro/20</t>
  </si>
  <si>
    <t>SAÍDAS - Janeiro/20</t>
  </si>
  <si>
    <t>Genilda Roza da Silva</t>
  </si>
  <si>
    <t>FECHAMENTO - Fevereiro</t>
  </si>
  <si>
    <t>ENTRADAS - Fevereiro/20</t>
  </si>
  <si>
    <t>SAÍDAS - Fevereiro/20</t>
  </si>
  <si>
    <t>Notificação extrajudicial</t>
  </si>
  <si>
    <t>Pratique 04/12</t>
  </si>
  <si>
    <t>Ação Roberto Magno 8/10</t>
  </si>
  <si>
    <t>Pratique 05/12</t>
  </si>
  <si>
    <t>30/02/2020</t>
  </si>
  <si>
    <t>Ação Roberto Magno 9/10</t>
  </si>
  <si>
    <t>IPVA Gol Ronei</t>
  </si>
  <si>
    <t>Bruna</t>
  </si>
  <si>
    <t>IPVA HRV</t>
  </si>
  <si>
    <t>Plano Saúde</t>
  </si>
  <si>
    <t>Licenciamento</t>
  </si>
  <si>
    <t>Andreia</t>
  </si>
  <si>
    <t>LJ ELETRICA 2/3</t>
  </si>
  <si>
    <t>Estorno Bruna</t>
  </si>
  <si>
    <t>Ação despejo</t>
  </si>
  <si>
    <t>Café</t>
  </si>
  <si>
    <t>Sirley</t>
  </si>
  <si>
    <t>Termo de Acordo</t>
  </si>
  <si>
    <t>Rosilene Rodrigues</t>
  </si>
  <si>
    <t>Acordo</t>
  </si>
  <si>
    <t>Conserto Gol</t>
  </si>
  <si>
    <t>Transf. HRV</t>
  </si>
  <si>
    <t>Exoneração de pensão - Moderninha 500,00</t>
  </si>
  <si>
    <t>Exoneração de pensão - Moderninha 1.000,00</t>
  </si>
  <si>
    <t>Wellington Lourenço</t>
  </si>
  <si>
    <t>Telefone Escritório Janeiro</t>
  </si>
  <si>
    <t>IPVA GOL 5/6</t>
  </si>
  <si>
    <t>IPVA GOL 6/6</t>
  </si>
  <si>
    <t>Renaldo</t>
  </si>
  <si>
    <t>Maquininha 1/9</t>
  </si>
  <si>
    <t>Maquininha 2/9</t>
  </si>
  <si>
    <t>Seguro HRV</t>
  </si>
  <si>
    <t>RAPPI</t>
  </si>
  <si>
    <t>NOTEBOOK 1/10</t>
  </si>
  <si>
    <t>Renata/Sebastião</t>
  </si>
  <si>
    <t>César Samuel Silva</t>
  </si>
  <si>
    <t>Ar cond. 1/10</t>
  </si>
  <si>
    <t>Sarafina</t>
  </si>
  <si>
    <t>IPVA HRV 2</t>
  </si>
  <si>
    <t>Maquininha 3/9</t>
  </si>
  <si>
    <t>Ar cond. 2/10</t>
  </si>
  <si>
    <t>Livro JP 1/6</t>
  </si>
  <si>
    <t>PUC 1/6</t>
  </si>
  <si>
    <t>Licenciamento Gol</t>
  </si>
  <si>
    <t>IPVA 1 gol 2020</t>
  </si>
  <si>
    <t>IPVA 2 gol 2020</t>
  </si>
  <si>
    <t>Verificar Moderninha</t>
  </si>
  <si>
    <t>Cristiano Antonio</t>
  </si>
  <si>
    <t>Parcela antecipada do Sandro mês passado</t>
  </si>
  <si>
    <t>DEPÓSITO CHEQUE</t>
  </si>
  <si>
    <t>DINHEIRO</t>
  </si>
  <si>
    <t>Genilda</t>
  </si>
  <si>
    <t>Evani Maria</t>
  </si>
  <si>
    <t>Venda caminhão</t>
  </si>
  <si>
    <t>Venda GOL RONEI</t>
  </si>
  <si>
    <t>Cassio / Ronei</t>
  </si>
  <si>
    <t>Administrativo</t>
  </si>
  <si>
    <t>Ação Roberto Magno 10/10</t>
  </si>
  <si>
    <t>Pratique 06/12</t>
  </si>
  <si>
    <t>IPVA HRV 3</t>
  </si>
  <si>
    <t>Maquininha 4/9</t>
  </si>
  <si>
    <t>Ar cond. 3/10</t>
  </si>
  <si>
    <t>Livro JP 2/6</t>
  </si>
  <si>
    <t>PUC 2/6</t>
  </si>
  <si>
    <t>IPVA Palio 1</t>
  </si>
  <si>
    <t>IPVA Palio 2</t>
  </si>
  <si>
    <t>Adenilson</t>
  </si>
  <si>
    <t>Acordo Trabalhista - PARCIAL</t>
  </si>
  <si>
    <t>NOTEBOOK 2/10</t>
  </si>
  <si>
    <t>NOTEBOOK 3/10</t>
  </si>
  <si>
    <t>MOP escritório 1/2</t>
  </si>
  <si>
    <t>Último IPVA Gol</t>
  </si>
  <si>
    <t>Negociação Extrajudicial - passou 1300 moderninha + 200 din.</t>
  </si>
  <si>
    <t>Gutenberg Soares</t>
  </si>
  <si>
    <t>IFOOD mês</t>
  </si>
  <si>
    <t>Balança</t>
  </si>
  <si>
    <t>Casas Bahia</t>
  </si>
  <si>
    <t>Celular 1/10</t>
  </si>
  <si>
    <t>FECHAMENTO - Março</t>
  </si>
  <si>
    <t>ENTRADAS - Março/20</t>
  </si>
  <si>
    <t>SAÍDAS - Março/20</t>
  </si>
  <si>
    <t>Contagem tempo de contribuição</t>
  </si>
  <si>
    <t>Maria José Vagner</t>
  </si>
  <si>
    <t>Lucas Rosa de Souza</t>
  </si>
  <si>
    <t>FECHAMENTO - Abril</t>
  </si>
  <si>
    <t>ENTRADAS - Abril/20</t>
  </si>
  <si>
    <t>Pratique 07/12</t>
  </si>
  <si>
    <t>Maquininha 5/9</t>
  </si>
  <si>
    <t>Ar cond. 4/10</t>
  </si>
  <si>
    <t>Livro JP 3/6</t>
  </si>
  <si>
    <t>PUC 3/6</t>
  </si>
  <si>
    <t>IPVA Palio 3</t>
  </si>
  <si>
    <t>Celular 2/10</t>
  </si>
  <si>
    <t>NOTEBOOK 4/10</t>
  </si>
  <si>
    <t>Comissão Bruna Suelen</t>
  </si>
  <si>
    <t>Maria Aparecida</t>
  </si>
  <si>
    <t>Rescisão Contratual</t>
  </si>
  <si>
    <t>Desistência de ação trabalhista</t>
  </si>
  <si>
    <t>Millena de Deus</t>
  </si>
  <si>
    <t>Rodrigo Mendes</t>
  </si>
  <si>
    <t>Anderson Pereir Rodrigues</t>
  </si>
  <si>
    <t>Ifood período</t>
  </si>
  <si>
    <t>Genilda Roza</t>
  </si>
  <si>
    <t>copasa escritório</t>
  </si>
  <si>
    <t>Andreia Ana de Melo</t>
  </si>
  <si>
    <t>Lorena Teles</t>
  </si>
  <si>
    <t>Lançado em dobro (mês passado não lancei)</t>
  </si>
  <si>
    <t>Parcelas 1 e 2 devolução Lourdes</t>
  </si>
  <si>
    <t>orlando 1/10</t>
  </si>
  <si>
    <t>Manutenção</t>
  </si>
  <si>
    <t>Maria da Penha</t>
  </si>
  <si>
    <t>Ana Maria Eleutério</t>
  </si>
  <si>
    <t>FECHAMENTO - Maio</t>
  </si>
  <si>
    <t>SAÍDAS - Abril/20</t>
  </si>
  <si>
    <t>ENTRADAS - Maio/20</t>
  </si>
  <si>
    <t>SAÍDAS - Maio/20</t>
  </si>
  <si>
    <t>Pensão - passou R$1.350,00 moderninha</t>
  </si>
  <si>
    <t>Kenia</t>
  </si>
  <si>
    <t>NOTEBOOK 5/10</t>
  </si>
  <si>
    <t>Parcela 3 devolução Lourdes</t>
  </si>
  <si>
    <t>orlando 2/10</t>
  </si>
  <si>
    <t>Celular 3/10</t>
  </si>
  <si>
    <t>PUC 4/6</t>
  </si>
  <si>
    <t>Livro JP 4/6</t>
  </si>
  <si>
    <t>Ar cond. 5/10</t>
  </si>
  <si>
    <t>Maquininha 6/9</t>
  </si>
  <si>
    <t>Pratique 08/12</t>
  </si>
  <si>
    <t>Materiais pintor 1/3</t>
  </si>
  <si>
    <t>Eustaquio Eleutério</t>
  </si>
  <si>
    <t>Pagamento Alisson</t>
  </si>
  <si>
    <t>Janduir</t>
  </si>
  <si>
    <t>Ana Paula</t>
  </si>
  <si>
    <t>Ana paula</t>
  </si>
  <si>
    <t>Ronei Gesso</t>
  </si>
  <si>
    <t>Danilo Gesso</t>
  </si>
  <si>
    <t>Ação previdenciária - passou 1000 moderninha</t>
  </si>
  <si>
    <t>Negociação Banco - passou 1000 moderninha</t>
  </si>
  <si>
    <t>Croica</t>
  </si>
  <si>
    <t>Condomínio Coan</t>
  </si>
  <si>
    <t>FECHAMENTO - Junho</t>
  </si>
  <si>
    <t>Pratique 09/12</t>
  </si>
  <si>
    <t>Maquininha 7/9</t>
  </si>
  <si>
    <t>Ar cond. 6/10</t>
  </si>
  <si>
    <t>Livro JP 5/6</t>
  </si>
  <si>
    <t>PUC 5/6</t>
  </si>
  <si>
    <t>Celular 4/10</t>
  </si>
  <si>
    <t>orlando 3/10</t>
  </si>
  <si>
    <t>NOTEBOOK 6/10</t>
  </si>
  <si>
    <t>Materiais pintor 2/3</t>
  </si>
  <si>
    <t>Marcio de Jesus</t>
  </si>
  <si>
    <t>Ronei parte elétrica</t>
  </si>
  <si>
    <t>Acerto Marcelo Tataki</t>
  </si>
  <si>
    <t>Marcelo Tataki</t>
  </si>
  <si>
    <t>Claudia Guimarães</t>
  </si>
  <si>
    <t>Confecção de contrato de locação</t>
  </si>
  <si>
    <t>Heloisa</t>
  </si>
  <si>
    <t>Aurita Lopes</t>
  </si>
  <si>
    <t>Negociação Caminhão</t>
  </si>
  <si>
    <t>Cemig atrasada</t>
  </si>
  <si>
    <t>Cemig mês</t>
  </si>
  <si>
    <t>Luiz</t>
  </si>
  <si>
    <t>Ação cível moto</t>
  </si>
  <si>
    <t>Gutenberg</t>
  </si>
  <si>
    <t>Dayane Edil</t>
  </si>
  <si>
    <t>Ação Liberty</t>
  </si>
  <si>
    <t>Paulo Cesar Campos</t>
  </si>
  <si>
    <t>Uenderson Pintor</t>
  </si>
  <si>
    <t>Aluguel + diferença mês anterior</t>
  </si>
  <si>
    <t>Unimed Coan</t>
  </si>
  <si>
    <t>Condomínio Eldorado</t>
  </si>
  <si>
    <t>Lucar Rosa de Souza</t>
  </si>
  <si>
    <t>Sandro Souza de Almeida</t>
  </si>
  <si>
    <t>Fernanda EPA</t>
  </si>
  <si>
    <t>Ação Cível - Passou 250 moderninha</t>
  </si>
  <si>
    <t>Herbert Lucio</t>
  </si>
  <si>
    <t>Planalto Tintas</t>
  </si>
  <si>
    <t>Brasil Tintas 1/2</t>
  </si>
  <si>
    <t>Planalto Tintas 1/2</t>
  </si>
  <si>
    <t>Custas Zezuito</t>
  </si>
  <si>
    <t>Francisco Fabio</t>
  </si>
  <si>
    <t>Comissão Bruna Suelen Processo Herbert</t>
  </si>
  <si>
    <t>ENTRADAS - Junho/20</t>
  </si>
  <si>
    <t>SAÍDAS - Junho/20</t>
  </si>
  <si>
    <t>FECHAMENTO - Julho</t>
  </si>
  <si>
    <t>ENTRADAS - Julho/20</t>
  </si>
  <si>
    <t>SAÍDAS - Julho/20</t>
  </si>
  <si>
    <t>Pratique 10/12</t>
  </si>
  <si>
    <t>Maquininha 8/9</t>
  </si>
  <si>
    <t>Ar cond. 7/10</t>
  </si>
  <si>
    <t>Livro JP 6/6</t>
  </si>
  <si>
    <t>PUC 6/6</t>
  </si>
  <si>
    <t>Celular 5/10</t>
  </si>
  <si>
    <t>orlando 4/10</t>
  </si>
  <si>
    <t>NOTEBOOK 7/10</t>
  </si>
  <si>
    <t>Materiais pintor 3/3</t>
  </si>
  <si>
    <t>Brasil Tintas 2/2</t>
  </si>
  <si>
    <t>Planalto Tintas 2/2</t>
  </si>
  <si>
    <t>Marcio Duarte</t>
  </si>
  <si>
    <t>Marcos Ferreira</t>
  </si>
  <si>
    <t>Administração locação</t>
  </si>
  <si>
    <t>Heloísa</t>
  </si>
  <si>
    <t>Algar</t>
  </si>
  <si>
    <t>Elder - Geildo</t>
  </si>
  <si>
    <t>Paulo Rodrigues</t>
  </si>
  <si>
    <t>Acompanhamento criminal</t>
  </si>
  <si>
    <t>FECHAMENTO - Agosto</t>
  </si>
  <si>
    <t>ENTRADAS - Agosto/20</t>
  </si>
  <si>
    <t>SAÍDAS - Agosto/20</t>
  </si>
  <si>
    <t>Pratique 11/12</t>
  </si>
  <si>
    <t>Maquininha 9/9</t>
  </si>
  <si>
    <t>Ar cond. 8/10</t>
  </si>
  <si>
    <t>Celular 6/10</t>
  </si>
  <si>
    <t>orlando 5/10</t>
  </si>
  <si>
    <t>NOTEBOOK 8/10</t>
  </si>
  <si>
    <t>CHEQUE sofá</t>
  </si>
  <si>
    <t>Felipe Santiago</t>
  </si>
  <si>
    <t>Ariana</t>
  </si>
  <si>
    <t>Taxa Trabalhista</t>
  </si>
  <si>
    <t>Luisa Zeni</t>
  </si>
  <si>
    <t xml:space="preserve">Aluguel </t>
  </si>
  <si>
    <t>PUC 1/9</t>
  </si>
  <si>
    <t>Maria das Graças</t>
  </si>
  <si>
    <t>Execução</t>
  </si>
  <si>
    <t>Pedro Junior</t>
  </si>
  <si>
    <t>Danilo do Gesso</t>
  </si>
  <si>
    <t>Jeciane Couto</t>
  </si>
  <si>
    <t>FECHAMENTO - Setembro</t>
  </si>
  <si>
    <t>Pratique 12/12</t>
  </si>
  <si>
    <t>Ar cond. 9/10</t>
  </si>
  <si>
    <t>Celular 7/10</t>
  </si>
  <si>
    <t>orlando 6/10</t>
  </si>
  <si>
    <t>PUC 2/9</t>
  </si>
  <si>
    <t>ENTRADAS - Setembro/20</t>
  </si>
  <si>
    <t>SAÍDAS - Setembro/20</t>
  </si>
  <si>
    <t>NOTEBOOK 9/10</t>
  </si>
  <si>
    <t>Pensao alimentícia (passou 750)</t>
  </si>
  <si>
    <t>Leticia</t>
  </si>
  <si>
    <t>Vera Lucia</t>
  </si>
  <si>
    <t>Sebastião / Renata</t>
  </si>
  <si>
    <t>Rodrigo Augusto</t>
  </si>
  <si>
    <t>Divorcio Agda</t>
  </si>
  <si>
    <t>Agda</t>
  </si>
  <si>
    <t>Divorcio</t>
  </si>
  <si>
    <t>Cesar Eloi</t>
  </si>
  <si>
    <t>Warllen Pedrosa</t>
  </si>
  <si>
    <t>Marcio Júnior</t>
  </si>
  <si>
    <t xml:space="preserve">Clecia </t>
  </si>
  <si>
    <t>Samuel Jeane Fashion</t>
  </si>
  <si>
    <t>Cheque Mesa</t>
  </si>
  <si>
    <t>Gilson Rodrigues</t>
  </si>
  <si>
    <t>Assessoria Moderninha 2000</t>
  </si>
  <si>
    <t>Pensão Alimentícia Moderninha 250</t>
  </si>
  <si>
    <t>Divórcio pronto</t>
  </si>
  <si>
    <t>Fernando Passos</t>
  </si>
  <si>
    <t>ENTRADAS - Novembro/20</t>
  </si>
  <si>
    <t>SAÍDAS - Novembro/20</t>
  </si>
  <si>
    <t>NOTEBOOK 10/10</t>
  </si>
  <si>
    <t>Ar cond. 10/10</t>
  </si>
  <si>
    <t>Celular 8/10</t>
  </si>
  <si>
    <t>orlando 7/10</t>
  </si>
  <si>
    <t>PUC 3/9</t>
  </si>
  <si>
    <t>Exibição Contrato</t>
  </si>
  <si>
    <t>Sucumbência Trabalhista</t>
  </si>
  <si>
    <t>Warlen Pedrosa</t>
  </si>
  <si>
    <t>Defesa Multa - 450 moderninha</t>
  </si>
  <si>
    <t>Lucas / Francisca</t>
  </si>
  <si>
    <t>Magela Grilão</t>
  </si>
  <si>
    <t>Assessoria Cível</t>
  </si>
  <si>
    <t>Serra do Cipó</t>
  </si>
  <si>
    <t>Bruna Kelly</t>
  </si>
  <si>
    <t>Pagamento Duty Obra</t>
  </si>
  <si>
    <t>Viagem JP</t>
  </si>
  <si>
    <t>Helio Valdineia</t>
  </si>
  <si>
    <t>Pastor Serra do Cipó</t>
  </si>
  <si>
    <t>Celular 9/10</t>
  </si>
  <si>
    <t>orlando 8/10</t>
  </si>
  <si>
    <t>PUC 4/9</t>
  </si>
  <si>
    <t>ENTRADAS - Outubro/20</t>
  </si>
  <si>
    <t>SAÍDAS - Outubro/20</t>
  </si>
  <si>
    <t>Embargos de terceiro trabalhista</t>
  </si>
  <si>
    <t>Cleusdete</t>
  </si>
  <si>
    <t>Peterson Serra do Cipó</t>
  </si>
  <si>
    <t>Recurso Ordinário COOPERTUR (passou 1500 maquininha)</t>
  </si>
  <si>
    <t>Weltman Mauricio</t>
  </si>
  <si>
    <t>Leticia Cristina</t>
  </si>
  <si>
    <t>Cheque mesa</t>
  </si>
  <si>
    <t>Jose obra</t>
  </si>
  <si>
    <t>Wilson Obra</t>
  </si>
  <si>
    <t>Serralheiro Obra</t>
  </si>
  <si>
    <t>Areia Obra</t>
  </si>
  <si>
    <t>Frete Jose Luzia</t>
  </si>
  <si>
    <t>Pgto servente</t>
  </si>
  <si>
    <t>Pgto Laureano Obra</t>
  </si>
  <si>
    <t>Pgto Vitor Obra</t>
  </si>
  <si>
    <t>Pgto Aelton Obra</t>
  </si>
  <si>
    <t>Pgto João Bosco Obra</t>
  </si>
  <si>
    <t>Pgto Servente</t>
  </si>
  <si>
    <t>Laje 1/6</t>
  </si>
  <si>
    <t>Moderninha passou 2.000,00</t>
  </si>
  <si>
    <t>Paulo Cezar Campos</t>
  </si>
  <si>
    <t>Pgto Wanderson (Zé roberto)</t>
  </si>
  <si>
    <t>Pgto João Bosco Obra (pedra azul)</t>
  </si>
  <si>
    <t>Pgto Flavio ficou 20 de crédito</t>
  </si>
  <si>
    <t>Salário João Pedro</t>
  </si>
  <si>
    <t>Depósito Inovar parcela 1/6</t>
  </si>
  <si>
    <t>Depósito Inovar parcela 1/10</t>
  </si>
  <si>
    <t>Sucumbência trabalhista</t>
  </si>
  <si>
    <t>Aguia Material de Construção</t>
  </si>
  <si>
    <t>Cheque GUGU</t>
  </si>
  <si>
    <t>Depósito</t>
  </si>
  <si>
    <t>ENTRADAS - Dezembro/20</t>
  </si>
  <si>
    <t>Celular 10/10</t>
  </si>
  <si>
    <t>orlando 9/10</t>
  </si>
  <si>
    <t>PUC 5/9</t>
  </si>
  <si>
    <t>Recurso Inominado</t>
  </si>
  <si>
    <t>Guaraciaba</t>
  </si>
  <si>
    <t>Laje 2/6</t>
  </si>
  <si>
    <t>Depósito Inovar parcela 2/6</t>
  </si>
  <si>
    <t>Depósito Inovar parcela 2/10</t>
  </si>
  <si>
    <t>Pgto Aelton Pedreiro</t>
  </si>
  <si>
    <t>Pgto João Bosco Pedreiro</t>
  </si>
  <si>
    <t>Pgto Talibã Servente</t>
  </si>
  <si>
    <t>Pgto Naldo Pedreiro</t>
  </si>
  <si>
    <t>Pgto Sidney servente</t>
  </si>
  <si>
    <t>Pgto wanderson servente</t>
  </si>
  <si>
    <t>Pgto Wanderson servente</t>
  </si>
  <si>
    <t>Pgto Fernando Pedreiro</t>
  </si>
  <si>
    <t>Pgto Jhony servente</t>
  </si>
  <si>
    <t>Pgto Michel servente</t>
  </si>
  <si>
    <t>Arnaldo de moura</t>
  </si>
  <si>
    <t>Areia</t>
  </si>
  <si>
    <t>Pgto entrada obra Dr Glaucio</t>
  </si>
  <si>
    <t>Acordo KTM</t>
  </si>
  <si>
    <t>Pgto Laureano</t>
  </si>
  <si>
    <t>COPASA escritório</t>
  </si>
  <si>
    <t>ENTRADAS - Janeiro/21</t>
  </si>
  <si>
    <t>SAÍDAS - Janeiro/21</t>
  </si>
  <si>
    <t>Depósito Inovar parcela 3/6</t>
  </si>
  <si>
    <t>Depósito Inovar parcela 3/10</t>
  </si>
  <si>
    <t>Laje 3/6</t>
  </si>
  <si>
    <t>Areia Aguia Material de construções</t>
  </si>
  <si>
    <t>orlando 10/10</t>
  </si>
  <si>
    <t>PUC 6/9</t>
  </si>
  <si>
    <t>Deposito Inovar Parcela 1/5</t>
  </si>
  <si>
    <t>Warlen henrique</t>
  </si>
  <si>
    <t>Fernando Passos Silva</t>
  </si>
  <si>
    <t>Cleusdete Mendes</t>
  </si>
  <si>
    <t>cheque mesa</t>
  </si>
  <si>
    <t>Pgto Naldo Pedreiro (eudinaldo)</t>
  </si>
  <si>
    <t>Helio Geraldo</t>
  </si>
  <si>
    <t>Odete Porto</t>
  </si>
  <si>
    <t>Pgto João Pedro</t>
  </si>
  <si>
    <t>Pgto João Pedro servente</t>
  </si>
  <si>
    <t>Interfone</t>
  </si>
  <si>
    <t>Instalação Interfone</t>
  </si>
  <si>
    <t>Previdênciario - Ana Paula Captadora</t>
  </si>
  <si>
    <t>Luiz Roberto</t>
  </si>
  <si>
    <t>Recurso Inominado - moderninha 1000</t>
  </si>
  <si>
    <t>Cleusdete Maristela</t>
  </si>
  <si>
    <t>Deposito Inovar Parcela 1/10</t>
  </si>
  <si>
    <t>OAB 1/10</t>
  </si>
  <si>
    <t>PUC 1/10</t>
  </si>
  <si>
    <t>Grama Aurelice Justino 1/3</t>
  </si>
  <si>
    <t>Frete Grama</t>
  </si>
  <si>
    <t>Heloisa / Magno</t>
  </si>
  <si>
    <t>Locação</t>
  </si>
  <si>
    <t>Arnaldo Moura</t>
  </si>
  <si>
    <t>Wanderson Bruno</t>
  </si>
  <si>
    <t>Casa Acabam. Tupinense Parcela 1/2</t>
  </si>
  <si>
    <t>PAG*DiferMinas Parcela 1/4</t>
  </si>
  <si>
    <t>SUCAL</t>
  </si>
  <si>
    <t>Pendências</t>
  </si>
  <si>
    <t>Lanche p/ pedreiros</t>
  </si>
  <si>
    <t>Gasolina</t>
  </si>
  <si>
    <t>Larissa Gabriela Dos Santos</t>
  </si>
  <si>
    <t>Amatel Madeiras</t>
  </si>
  <si>
    <t>Artigo conserto mat. Construção</t>
  </si>
  <si>
    <t>Almoço pedreiros</t>
  </si>
  <si>
    <t>Combustível</t>
  </si>
  <si>
    <t>Bar Fabim</t>
  </si>
  <si>
    <t>Claudiovam</t>
  </si>
  <si>
    <t>toldos sp</t>
  </si>
  <si>
    <t>pgto serviço</t>
  </si>
  <si>
    <t>deposito inovar parcela 1/6</t>
  </si>
  <si>
    <t>deposito inovar parcela 2/6</t>
  </si>
  <si>
    <t>deposito inovar parcela 3/6</t>
  </si>
  <si>
    <t>Aço Carbono Parcela 1/3</t>
  </si>
  <si>
    <t>Tecidos e armarinhos miguel bart. Parcela 1/3</t>
  </si>
  <si>
    <t>Diligência em Baldinho</t>
  </si>
  <si>
    <t>Dissolução de União Estável</t>
  </si>
  <si>
    <t>Maria Aparecida do N. Santos</t>
  </si>
  <si>
    <t xml:space="preserve"> Rafael</t>
  </si>
  <si>
    <t>Previdenciário - recebimento de benefício</t>
  </si>
  <si>
    <t>pgto Laureano</t>
  </si>
  <si>
    <t>passagens Laureano</t>
  </si>
  <si>
    <t>Derly e Patrício</t>
  </si>
  <si>
    <t>Planilha de Cálculo</t>
  </si>
  <si>
    <t>Diego Brandão</t>
  </si>
  <si>
    <t>Geildo</t>
  </si>
  <si>
    <t>Cemig Atrasada NOV/2020</t>
  </si>
  <si>
    <t>Blocos</t>
  </si>
  <si>
    <t>Tupinense argamassa e parafusos</t>
  </si>
  <si>
    <t>planalto tintas tinta branco neve 18L e aguarras</t>
  </si>
  <si>
    <t xml:space="preserve">planalto tintas </t>
  </si>
  <si>
    <t>tupinense</t>
  </si>
  <si>
    <t>mat const lt belo</t>
  </si>
  <si>
    <t>Microondas</t>
  </si>
  <si>
    <t>Adriana Ramos</t>
  </si>
  <si>
    <t>Cesta Prime</t>
  </si>
  <si>
    <t>Calculos trabalhistas</t>
  </si>
  <si>
    <t>Pgto Eudinaldo Obra</t>
  </si>
  <si>
    <t>Blocos Silva</t>
  </si>
  <si>
    <t>laureano Obra</t>
  </si>
  <si>
    <t>Wanderson Obra</t>
  </si>
  <si>
    <t>Naldo Obra</t>
  </si>
  <si>
    <t>Mauro Placa</t>
  </si>
  <si>
    <t>Salário João</t>
  </si>
  <si>
    <t>Crédito</t>
  </si>
  <si>
    <t>PUC 7/9</t>
  </si>
  <si>
    <t>OAB 2/10</t>
  </si>
  <si>
    <t>PUC 2/10</t>
  </si>
  <si>
    <t>Depósito Inovar parcela 4/6</t>
  </si>
  <si>
    <t>Depósito Inovar parcela 4/10</t>
  </si>
  <si>
    <t>Laje 4/6</t>
  </si>
  <si>
    <t>Deposito Inovar Parcela 2/5</t>
  </si>
  <si>
    <t>Deposito Inovar Parcela 2/10</t>
  </si>
  <si>
    <t>Grama Aurelice Justino 2/3</t>
  </si>
  <si>
    <t>Casa Acabam. Tupinense Parcela 2/2</t>
  </si>
  <si>
    <t>PAG*DiferMinas Parcela 2/4</t>
  </si>
  <si>
    <t>Aço Carbono Parcela 2/3</t>
  </si>
  <si>
    <t>Tecidos e armarinhos miguel bart. Parcela 2/3</t>
  </si>
  <si>
    <t>deposito inovar parcela 4/6</t>
  </si>
  <si>
    <t>ENTRADAS - Fevereiro/21</t>
  </si>
  <si>
    <t>SAÍDAS - Fevereiro/21</t>
  </si>
  <si>
    <t>Acerto de parcelas (RICA EMPREENDIMENTOS)</t>
  </si>
  <si>
    <t>Elisabeth da Silva Ferreira</t>
  </si>
  <si>
    <t>Patrício Teixeira de Carvalho Filho</t>
  </si>
  <si>
    <t>Karina Moura Costa</t>
  </si>
  <si>
    <t>Pagamento cartão de crédito</t>
  </si>
  <si>
    <t>Transferência bancária</t>
  </si>
  <si>
    <t>Embargo de terceiros</t>
  </si>
  <si>
    <t>Legenda</t>
  </si>
  <si>
    <t>Dinheiro em conta</t>
  </si>
  <si>
    <t>Dinheiro em espécie</t>
  </si>
  <si>
    <t>Em caixa</t>
  </si>
  <si>
    <t>Recebido do mês</t>
  </si>
  <si>
    <t>Total</t>
  </si>
  <si>
    <t>Acessoria Anfrisio (Gugu)</t>
  </si>
  <si>
    <t>Pagamento cartao de debito</t>
  </si>
  <si>
    <t>Óculos 1/5</t>
  </si>
  <si>
    <t>Itens de pesca</t>
  </si>
  <si>
    <t xml:space="preserve">Ressarcir Rafael </t>
  </si>
  <si>
    <t>corrente canil</t>
  </si>
  <si>
    <t>Ressarcir Glaucio</t>
  </si>
  <si>
    <t>Anel Lj Elétrica parcela 1/3</t>
  </si>
  <si>
    <t>Acerto Mauro</t>
  </si>
  <si>
    <t>Pago com conta</t>
  </si>
  <si>
    <t>Pago em espécie</t>
  </si>
  <si>
    <t>Zarcão</t>
  </si>
  <si>
    <t>Deposito Inovar 1/3</t>
  </si>
  <si>
    <t>Artefatos de concreto 600 blocos</t>
  </si>
  <si>
    <t>Marly Maria</t>
  </si>
  <si>
    <t>Atual Pisos e Revestim (borracha canil)</t>
  </si>
  <si>
    <t>sucal</t>
  </si>
  <si>
    <t>máscaras canil</t>
  </si>
  <si>
    <t>Camisas canil</t>
  </si>
  <si>
    <t>Certidão de Óbito Adelino Ferreira</t>
  </si>
  <si>
    <t>PUC 8/9</t>
  </si>
  <si>
    <t>OAB 3/10</t>
  </si>
  <si>
    <t>PUC 3/10</t>
  </si>
  <si>
    <t>Óculos 2/5</t>
  </si>
  <si>
    <t>Depósito Inovar parcela 5/6</t>
  </si>
  <si>
    <t>Depósito Inovar parcela 5/10</t>
  </si>
  <si>
    <t>Laje 5/6</t>
  </si>
  <si>
    <t>Deposito Inovar Parcela 3/5</t>
  </si>
  <si>
    <t>Deposito Inovar Parcela 3/10</t>
  </si>
  <si>
    <t>Grama Aurelice Justino 3/3</t>
  </si>
  <si>
    <t>PAG*DiferMinas Parcela 3/4</t>
  </si>
  <si>
    <t>Aço Carbono Parcela 3/3</t>
  </si>
  <si>
    <t>Tecidos e armarinhos miguel bart. Parcela 3/3</t>
  </si>
  <si>
    <t>deposito inovar parcela 5/6</t>
  </si>
  <si>
    <t>Anel Lj Elétrica parcela 2/3</t>
  </si>
  <si>
    <t>Deposito Inovar 2/3</t>
  </si>
  <si>
    <t>Alessandra Carolina</t>
  </si>
  <si>
    <t>Givaldo</t>
  </si>
  <si>
    <t xml:space="preserve">Euder </t>
  </si>
  <si>
    <t>Ana Lucia Roberta</t>
  </si>
  <si>
    <t>portão recepção 1/3 sucal</t>
  </si>
  <si>
    <t>portão recepção 2/3 sucal</t>
  </si>
  <si>
    <t>Escritório (NUBANK)</t>
  </si>
  <si>
    <t>Escritório (Físico)</t>
  </si>
  <si>
    <t>SAÍDAS - Março/21</t>
  </si>
  <si>
    <t>ENTRADAS - Março/21</t>
  </si>
  <si>
    <t>Diferença de trasf</t>
  </si>
  <si>
    <t>tupinense telhas 1/2</t>
  </si>
  <si>
    <t>Adiantamento Jan</t>
  </si>
  <si>
    <t>Pag*Sintonia 1/6</t>
  </si>
  <si>
    <t>telefone escritório</t>
  </si>
  <si>
    <t>Defesa trabalhista</t>
  </si>
  <si>
    <t>Anuidade FBAC</t>
  </si>
  <si>
    <t>Telhas + frete</t>
  </si>
  <si>
    <t>Adson Rafael</t>
  </si>
  <si>
    <t>Acordo Locagerais</t>
  </si>
  <si>
    <t xml:space="preserve">Execução trabalhista </t>
  </si>
  <si>
    <t>Rosangela Alves</t>
  </si>
  <si>
    <t>Defesa Detran</t>
  </si>
  <si>
    <t>Gilson Alex</t>
  </si>
  <si>
    <t>Ação José Geraldo</t>
  </si>
  <si>
    <t>gd calhas calha</t>
  </si>
  <si>
    <t xml:space="preserve">gd calhas </t>
  </si>
  <si>
    <t xml:space="preserve">trasnf cristina </t>
  </si>
  <si>
    <t>Pgto Mauro</t>
  </si>
  <si>
    <t>Kelver Duarte de Souza</t>
  </si>
  <si>
    <t>Trasnformação hotelpets</t>
  </si>
  <si>
    <t>Michael Douglas</t>
  </si>
  <si>
    <t>Alvará Judicial</t>
  </si>
  <si>
    <t>Saulo</t>
  </si>
  <si>
    <t>Honorários de Sucumbência</t>
  </si>
  <si>
    <t>Credifibra</t>
  </si>
  <si>
    <t>Sabrina Tassa Bimal</t>
  </si>
  <si>
    <t>Sameque</t>
  </si>
  <si>
    <t xml:space="preserve">Pag*Mgsolucoes </t>
  </si>
  <si>
    <t>Pag*Sintonia 1/10</t>
  </si>
  <si>
    <t>Transf Breno</t>
  </si>
  <si>
    <t>Madefox 2/4</t>
  </si>
  <si>
    <t>Iara Marques</t>
  </si>
  <si>
    <t>Depósito Inovar parcela 6/6</t>
  </si>
  <si>
    <t>Depósito Inovar parcela 6/10</t>
  </si>
  <si>
    <t>Laje 6/6</t>
  </si>
  <si>
    <t>Deposito Inovar Parcela 4/5</t>
  </si>
  <si>
    <t>Anel Lj Elétrica parcela 3/3</t>
  </si>
  <si>
    <t>Deposito Inovar Parcela 4/10</t>
  </si>
  <si>
    <t>PAG*DiferMinas Parcela 4/4</t>
  </si>
  <si>
    <t>Deposito Inovar 3/3</t>
  </si>
  <si>
    <t>deposito inovar parcela 6/6</t>
  </si>
  <si>
    <t>portão recepção 3/3 sucal</t>
  </si>
  <si>
    <t>tupinense telhas 2/2</t>
  </si>
  <si>
    <t>Pag*Sintonia 2/6</t>
  </si>
  <si>
    <t>Pag*Sintonia 2/10</t>
  </si>
  <si>
    <t>PUC 9/9</t>
  </si>
  <si>
    <t>OAB 4/10</t>
  </si>
  <si>
    <t>PUC 4/10</t>
  </si>
  <si>
    <t>Óculos 3/5</t>
  </si>
  <si>
    <t>Madefox 3/4</t>
  </si>
  <si>
    <t>PERÍODO - 12/04 A 10/05</t>
  </si>
  <si>
    <t>ENTRADAS - Abril/21</t>
  </si>
  <si>
    <t>PERÍODO - 11/03 A 12/04</t>
  </si>
  <si>
    <t>Hélio Geraldo</t>
  </si>
  <si>
    <t>Em caixa 12/04</t>
  </si>
  <si>
    <t>Daniel Fagundes</t>
  </si>
  <si>
    <t>Manutenção de ação</t>
  </si>
  <si>
    <t>Vitalino Eleutério</t>
  </si>
  <si>
    <t>Demetrios e Shirley</t>
  </si>
  <si>
    <t>Manopla pneu e gasolina C4 Pallas</t>
  </si>
  <si>
    <t>Acordo C4 Pallas</t>
  </si>
  <si>
    <t>IPVA + Licenciamento C4 Pallas</t>
  </si>
  <si>
    <t>Alvará KTM</t>
  </si>
  <si>
    <t>CNPJ HOTEL</t>
  </si>
  <si>
    <t>Robert</t>
  </si>
  <si>
    <t>Márcia Cristina</t>
  </si>
  <si>
    <t>Cemig escritorio</t>
  </si>
  <si>
    <t>Limpeza Vereda</t>
  </si>
  <si>
    <t>madefox cortes</t>
  </si>
  <si>
    <t>Compras</t>
  </si>
  <si>
    <t>Rosani</t>
  </si>
  <si>
    <t>Alvará Sanitário Hotelpets</t>
  </si>
  <si>
    <t>Contrato de permuta</t>
  </si>
  <si>
    <t>Jorge</t>
  </si>
  <si>
    <t>Jânio Josete</t>
  </si>
  <si>
    <t xml:space="preserve">Vitalino </t>
  </si>
  <si>
    <t>Dinalva Maria</t>
  </si>
  <si>
    <t>INSS</t>
  </si>
  <si>
    <t>SAÍDAS - Abril/21</t>
  </si>
  <si>
    <t>ENTRADAS - Maio/21</t>
  </si>
  <si>
    <t>SAÍDAS - Maio/21</t>
  </si>
  <si>
    <t>Madefox 4/4</t>
  </si>
  <si>
    <t>OAB 5/10</t>
  </si>
  <si>
    <t>PUC 5/10</t>
  </si>
  <si>
    <t>Óculos 4/5</t>
  </si>
  <si>
    <t>Depósito Inovar parcela 7/10</t>
  </si>
  <si>
    <t>Deposito Inovar Parcela 5/5</t>
  </si>
  <si>
    <t>Deposito Inovar Parcela 5/10</t>
  </si>
  <si>
    <t>Pag*Sintonia 3/6</t>
  </si>
  <si>
    <t>Pag*Sintonia 3/10</t>
  </si>
  <si>
    <t>posto vanorte</t>
  </si>
  <si>
    <t>Almoço</t>
  </si>
  <si>
    <t>Kelver Duarte</t>
  </si>
  <si>
    <t/>
  </si>
  <si>
    <t>Adelma</t>
  </si>
  <si>
    <t>Acerto Gutemberg</t>
  </si>
  <si>
    <t>Protocolo postal Reny</t>
  </si>
  <si>
    <t>Iara</t>
  </si>
  <si>
    <t>Execução civel</t>
  </si>
  <si>
    <t>Geraldo Leonardo</t>
  </si>
  <si>
    <t>João</t>
  </si>
  <si>
    <t>Consulta</t>
  </si>
  <si>
    <t>Defesa Uso capião</t>
  </si>
  <si>
    <t>Célia</t>
  </si>
  <si>
    <t>Produtos de limpeza</t>
  </si>
  <si>
    <t>Pagamento ação trabalhista</t>
  </si>
  <si>
    <t>Alexandre George</t>
  </si>
  <si>
    <t>Execução trabalhista</t>
  </si>
  <si>
    <t>Beneficio inss</t>
  </si>
  <si>
    <t>Luca Philipe</t>
  </si>
  <si>
    <t>Honorários Contábeis</t>
  </si>
  <si>
    <t>Romulo José</t>
  </si>
  <si>
    <t>Daniel, Karina e Fernanda</t>
  </si>
  <si>
    <t>Valdir Caetano</t>
  </si>
  <si>
    <t>Execução Cível</t>
  </si>
  <si>
    <t>Gutemberg</t>
  </si>
  <si>
    <t>Lucas Phillipe</t>
  </si>
  <si>
    <t>PERÍODO - 14/06 A 10/07</t>
  </si>
  <si>
    <t>Óculos 5/5</t>
  </si>
  <si>
    <t>PUC 6/10</t>
  </si>
  <si>
    <t>OAB 6/10</t>
  </si>
  <si>
    <t>Depósito Inovar parcela 8/10</t>
  </si>
  <si>
    <t>Deposito Inovar Parcela 6/10</t>
  </si>
  <si>
    <t>Pag*Sintonia 4/6</t>
  </si>
  <si>
    <t>Pag*Sintonia 4/10</t>
  </si>
  <si>
    <t>Daniel Rodrigues</t>
  </si>
  <si>
    <t>Amazon day 1/10</t>
  </si>
  <si>
    <t>Marcia Cristina</t>
  </si>
  <si>
    <t>Ação de cobrança</t>
  </si>
  <si>
    <t>Warlen Henrique</t>
  </si>
  <si>
    <t>Protocolo postal</t>
  </si>
  <si>
    <t>Galões de água</t>
  </si>
  <si>
    <t>Taxa de fiscalização e localização hotelpets</t>
  </si>
  <si>
    <t>Amazon Notebooks 1/10</t>
  </si>
  <si>
    <t>Pgto Maria Clara</t>
  </si>
  <si>
    <t>Materiais elétricos</t>
  </si>
  <si>
    <t xml:space="preserve">José Geraldo </t>
  </si>
  <si>
    <t>Renata Célia</t>
  </si>
  <si>
    <t>Ação trabalhista KTM</t>
  </si>
  <si>
    <t>Edson Camargo</t>
  </si>
  <si>
    <t>Ana Lúcia Roberta</t>
  </si>
  <si>
    <t>Vale Transporte Augusto</t>
  </si>
  <si>
    <t>Salário Augusto</t>
  </si>
  <si>
    <t>Amazon Impressora 1/10</t>
  </si>
  <si>
    <t>PERÍODO - 09/07 A 10/08</t>
  </si>
  <si>
    <t>ENTRADAS - Julho/21</t>
  </si>
  <si>
    <t>ENTRADAS - Junho/21</t>
  </si>
  <si>
    <t>OAB 7/10</t>
  </si>
  <si>
    <t>PUC 7/10</t>
  </si>
  <si>
    <t>Amazon day 2/10</t>
  </si>
  <si>
    <t>Pag*Sintonia 5/10</t>
  </si>
  <si>
    <t>Depósito Inovar parcela 9/10</t>
  </si>
  <si>
    <t>Deposito Inovar Parcela 7/10</t>
  </si>
  <si>
    <t>Pag*Sintonia 5/6</t>
  </si>
  <si>
    <t>Amazon Notebooks 2/10</t>
  </si>
  <si>
    <t>Amazon Impressora 2/10</t>
  </si>
  <si>
    <t>Maria Luiza Silva Horta</t>
  </si>
  <si>
    <t>Honorários contábeis</t>
  </si>
  <si>
    <t>Marcelo Rodrigues</t>
  </si>
  <si>
    <t>Divórico</t>
  </si>
  <si>
    <t>Acerto de débitos</t>
  </si>
  <si>
    <t>Madefox mesas novas 1/3</t>
  </si>
  <si>
    <t>Tambasa Atacadista tela canil</t>
  </si>
  <si>
    <t>Diesel</t>
  </si>
  <si>
    <t>Alomoço jp</t>
  </si>
  <si>
    <t>Ieda Aparecida</t>
  </si>
  <si>
    <t>Anderson de Jesus Castellani</t>
  </si>
  <si>
    <t>Deposito filizzola</t>
  </si>
  <si>
    <t>Tábuas rampa</t>
  </si>
  <si>
    <t>Aguarras</t>
  </si>
  <si>
    <t>Barris</t>
  </si>
  <si>
    <t>Nelson Ajudante Mauro</t>
  </si>
  <si>
    <t>Diárias Mauro</t>
  </si>
  <si>
    <t>Folhas A4 + Carta registrada sem AR</t>
  </si>
  <si>
    <t>limpeza escritório</t>
  </si>
  <si>
    <t>cemig escritorio</t>
  </si>
  <si>
    <t>Edivaldo Bento da Silva</t>
  </si>
  <si>
    <t>Iara Marquez Coimbra</t>
  </si>
  <si>
    <t>Geraldo Serafim</t>
  </si>
  <si>
    <t xml:space="preserve">José Geraldo Silva </t>
  </si>
  <si>
    <t>Execução trabalhista KTM</t>
  </si>
  <si>
    <t>Ronaldo Ribeiro</t>
  </si>
  <si>
    <t>Edson Camargo Fantone</t>
  </si>
  <si>
    <t>Lucas Philipe</t>
  </si>
  <si>
    <t>Matheus Ubirajara</t>
  </si>
  <si>
    <t>Acão previdenciária</t>
  </si>
  <si>
    <t>Rosangela Fátima</t>
  </si>
  <si>
    <t>Mesas Eder</t>
  </si>
  <si>
    <t>Diárias Mauro + porta</t>
  </si>
  <si>
    <t>Ombrelone canil 1/12</t>
  </si>
  <si>
    <t>Pag*Diferminas 1/3</t>
  </si>
  <si>
    <t>Garapastel</t>
  </si>
  <si>
    <t>Posto Phelipe</t>
  </si>
  <si>
    <t>Pag*Depositorestaurac</t>
  </si>
  <si>
    <t>Patricia aparecida vie</t>
  </si>
  <si>
    <t>Amareal Mat de const</t>
  </si>
  <si>
    <t>ifood nub escritorio</t>
  </si>
  <si>
    <t xml:space="preserve">Cloudwa*Multilar Discos makita </t>
  </si>
  <si>
    <t>Sucal Cantoneira</t>
  </si>
  <si>
    <t>Pag* Sintonia Arame e aguarras</t>
  </si>
  <si>
    <t>almoço</t>
  </si>
  <si>
    <t>Ricardo da silva Olive</t>
  </si>
  <si>
    <t>gasolina 2x + parafusos</t>
  </si>
  <si>
    <t>Salário Augusto - Almoço</t>
  </si>
  <si>
    <t>Notebook kabum 1/10</t>
  </si>
  <si>
    <t>Salário Daiane</t>
  </si>
  <si>
    <t>OAB 8/10</t>
  </si>
  <si>
    <t>PUC 8/10</t>
  </si>
  <si>
    <t>Amazon day 3/10</t>
  </si>
  <si>
    <t>Pag*Sintonia 6/10</t>
  </si>
  <si>
    <t>Depósito Inovar parcela 10/10</t>
  </si>
  <si>
    <t>Deposito Inovar Parcela 8/10</t>
  </si>
  <si>
    <t>Pag*Sintonia 6/6</t>
  </si>
  <si>
    <t>Amazon Notebooks 3/10</t>
  </si>
  <si>
    <t>Amazon Impressora 3/10</t>
  </si>
  <si>
    <t>Madefox mesas novas 2/3</t>
  </si>
  <si>
    <t>Ombrelone canil 2/12</t>
  </si>
  <si>
    <t>Pag*Diferminas 2/3</t>
  </si>
  <si>
    <t>Notebook kabum 2/10</t>
  </si>
  <si>
    <t>Pilhas mouse Augusto</t>
  </si>
  <si>
    <t>FECHAMENTO -Agosto</t>
  </si>
  <si>
    <t>ENTRADAS - Agosto/21</t>
  </si>
  <si>
    <t>domínio</t>
  </si>
  <si>
    <t>açucar</t>
  </si>
  <si>
    <t>Administrativo INSS</t>
  </si>
  <si>
    <t>Ivani</t>
  </si>
  <si>
    <t>SAÍDAS - Agosto/21</t>
  </si>
  <si>
    <t>SAÍDAS - Julho/21</t>
  </si>
  <si>
    <t>SAÍDAS - Junho/21</t>
  </si>
  <si>
    <t>Em atraso</t>
  </si>
  <si>
    <t>honorários contábeis</t>
  </si>
  <si>
    <t>Thalison Rodrigues da Silva</t>
  </si>
  <si>
    <t>Maria Luiza</t>
  </si>
  <si>
    <t>Maria Luiza da Silva Horta</t>
  </si>
  <si>
    <t>combustivel</t>
  </si>
  <si>
    <t>PERÍODO - 13/09 A 10/10</t>
  </si>
  <si>
    <t>ENTRADAS - Setembro/21</t>
  </si>
  <si>
    <t>OAB 9/10</t>
  </si>
  <si>
    <t>PUC 9/10</t>
  </si>
  <si>
    <t>Amazon day 4/10</t>
  </si>
  <si>
    <t>Pag*Sintonia 7/10</t>
  </si>
  <si>
    <t>Deposito Inovar Parcela 9/10</t>
  </si>
  <si>
    <t>Amazon Notebooks 4/10</t>
  </si>
  <si>
    <t>Amazon Impressora 4/10</t>
  </si>
  <si>
    <t>Madefox mesas novas 3/3</t>
  </si>
  <si>
    <t>Ombrelone canil 3/12</t>
  </si>
  <si>
    <t>Pag*Diferminas 3/3</t>
  </si>
  <si>
    <t>Notebook kabum 3/10</t>
  </si>
  <si>
    <t>SAÍDAS - Setembro/21</t>
  </si>
  <si>
    <t>acerto</t>
  </si>
  <si>
    <t>Salario Daiane</t>
  </si>
  <si>
    <t>Salario Augusto + vale - almoço</t>
  </si>
  <si>
    <t>telefone escritorio</t>
  </si>
  <si>
    <t>Osvaldo Pereira Soares</t>
  </si>
  <si>
    <t>Usucapião</t>
  </si>
  <si>
    <t>Maria Auxiliadora Costa Ribeiro Belo / Geraldo Serafim Roesberg</t>
  </si>
  <si>
    <t>Maria Auxiliadora Costa Ribeiro Belo/ Geraldo Serafim Roesberg</t>
  </si>
  <si>
    <t>iphone 1/10</t>
  </si>
  <si>
    <t>OAB SECAO MG 151 SUBSECAO</t>
  </si>
  <si>
    <t>Ação previdenciaria</t>
  </si>
  <si>
    <t xml:space="preserve">buque </t>
  </si>
  <si>
    <t>? Pix Sheylla</t>
  </si>
  <si>
    <t xml:space="preserve">puc </t>
  </si>
  <si>
    <t>Toner impressora</t>
  </si>
  <si>
    <t>fechadura hdl</t>
  </si>
  <si>
    <t>Mauri Rodrigues</t>
  </si>
  <si>
    <t>Defesa processo administrativo</t>
  </si>
  <si>
    <t>Edivaldo bento da Silva</t>
  </si>
  <si>
    <t>Bruna Souza Dias</t>
  </si>
  <si>
    <t>Café da manhã</t>
  </si>
  <si>
    <t>combustível</t>
  </si>
  <si>
    <t>Salario Augusto</t>
  </si>
  <si>
    <t>Araujo</t>
  </si>
  <si>
    <t>Giovane Dias</t>
  </si>
  <si>
    <t>ação trabalhista</t>
  </si>
  <si>
    <t>Holstein Coutinho</t>
  </si>
  <si>
    <t>Pag*Sintonia 8/10</t>
  </si>
  <si>
    <t>Deposito Inovar Parcela 10/10</t>
  </si>
  <si>
    <t>Amazon Notebooks 5/10</t>
  </si>
  <si>
    <t>Amazon Impressora 5/10</t>
  </si>
  <si>
    <t>Ombrelone canil 4/12</t>
  </si>
  <si>
    <t>Notebook kabum 4/10</t>
  </si>
  <si>
    <t>OAB 10/10</t>
  </si>
  <si>
    <t>PUC 10/10</t>
  </si>
  <si>
    <t>Amazon day 5/10</t>
  </si>
  <si>
    <t>iphone 2/10</t>
  </si>
  <si>
    <t>PERÍODO - 08/10 A 10/11</t>
  </si>
  <si>
    <t>ENTRADAS - Outubro/21</t>
  </si>
  <si>
    <t>Milton Rodrigues de Oliveira</t>
  </si>
  <si>
    <t>Ação Banco do Brasil Adriana Mascarenhas</t>
  </si>
  <si>
    <t>Renato Nascimento</t>
  </si>
  <si>
    <t>Açao previdênciaria</t>
  </si>
  <si>
    <t>Gastos canil</t>
  </si>
  <si>
    <t>gastos canil</t>
  </si>
  <si>
    <t>gastos canil total</t>
  </si>
  <si>
    <t>pago ao araujo</t>
  </si>
  <si>
    <t>gastos canil mensal</t>
  </si>
  <si>
    <t>Extra</t>
  </si>
  <si>
    <t>Maria do Carmo Rosa</t>
  </si>
  <si>
    <t>protocolo postal</t>
  </si>
  <si>
    <t>Eluana Rosa da Silva</t>
  </si>
  <si>
    <t>Edson Fantone</t>
  </si>
  <si>
    <t>copasa</t>
  </si>
  <si>
    <t xml:space="preserve">ação Adriana </t>
  </si>
  <si>
    <t>toner</t>
  </si>
  <si>
    <t>Custas finais x Zezuito</t>
  </si>
  <si>
    <t>Alvará Welbert</t>
  </si>
  <si>
    <t>Viviane</t>
  </si>
  <si>
    <t>Alvará Welbert Eloi</t>
  </si>
  <si>
    <t>pagto alexandre</t>
  </si>
  <si>
    <t>julio coelho frutuoso</t>
  </si>
  <si>
    <t>sinesio nunes</t>
  </si>
  <si>
    <t>total aço</t>
  </si>
  <si>
    <t>puc 11/21</t>
  </si>
  <si>
    <t>net 11/21</t>
  </si>
  <si>
    <t>copasa 11/21</t>
  </si>
  <si>
    <t>qualicorp 11/21</t>
  </si>
  <si>
    <t>net 10/21</t>
  </si>
  <si>
    <t>hot park</t>
  </si>
  <si>
    <t>paranaiba</t>
  </si>
  <si>
    <t>drogaclara</t>
  </si>
  <si>
    <t>maxmilhas</t>
  </si>
  <si>
    <t>Iracy Francisco da Silva / Priscila</t>
  </si>
  <si>
    <t>Acerto Daiane</t>
  </si>
  <si>
    <t>Paralisação temporária canil</t>
  </si>
  <si>
    <t>Remedio juliana</t>
  </si>
  <si>
    <t>Amazon day 6/10</t>
  </si>
  <si>
    <t>iphone 3/10</t>
  </si>
  <si>
    <t>Pag*Sintonia 9/10</t>
  </si>
  <si>
    <t>Amazon Notebooks 6/10</t>
  </si>
  <si>
    <t>Amazon Impressora 6/10</t>
  </si>
  <si>
    <t>Ombrelone canil 5/12</t>
  </si>
  <si>
    <t>Notebook kabum 5/10</t>
  </si>
  <si>
    <t>PERÍODO - 10/11 A 10/12</t>
  </si>
  <si>
    <t>ENTRADAS - Novembro/21</t>
  </si>
  <si>
    <t>SAÍDAS - Novembro/21</t>
  </si>
  <si>
    <t>SAÍDAS - Outubro/21</t>
  </si>
  <si>
    <t>Thalison Rodrigues da silva</t>
  </si>
  <si>
    <t>Iltomar José</t>
  </si>
  <si>
    <t>Amarildo Gugu</t>
  </si>
  <si>
    <t xml:space="preserve">Luiz Henrique </t>
  </si>
  <si>
    <t>Francielle Pereira</t>
  </si>
  <si>
    <t>Jenie Odara</t>
  </si>
  <si>
    <t>Bianca Bartolomeu Ferreira da Costa</t>
  </si>
  <si>
    <t>Tiago Vasconcelos</t>
  </si>
  <si>
    <t>Ação trabalhista x Sam</t>
  </si>
  <si>
    <t>Raimundo</t>
  </si>
  <si>
    <t>13 augusto</t>
  </si>
  <si>
    <t>13 João</t>
  </si>
  <si>
    <t>salario em din</t>
  </si>
  <si>
    <t>PERÍODO - 10/12 A 10/01</t>
  </si>
  <si>
    <t>ENTRADAS - Dezembro/21</t>
  </si>
  <si>
    <t>SAÍDAS - Dezembro/21</t>
  </si>
  <si>
    <t>Amazon day 7/10</t>
  </si>
  <si>
    <t>iphone 4/10</t>
  </si>
  <si>
    <t>Pag*Sintonia 10/10</t>
  </si>
  <si>
    <t>Amazon Notebooks 7/10</t>
  </si>
  <si>
    <t>Amazon Impressora 7/10</t>
  </si>
  <si>
    <t>Ombrelone canil 6/12</t>
  </si>
  <si>
    <t>Notebook kabum 6/10</t>
  </si>
  <si>
    <t>Gracilei</t>
  </si>
  <si>
    <t>caixa prox mês</t>
  </si>
  <si>
    <t>acerto nov</t>
  </si>
  <si>
    <t>Geraldo Nascimento Silveira</t>
  </si>
  <si>
    <t>Freud</t>
  </si>
  <si>
    <t>Roniel Ferreira</t>
  </si>
  <si>
    <t>Mudança em contrato</t>
  </si>
  <si>
    <t>Férias Augusto</t>
  </si>
  <si>
    <t>Michele Rodrigues Dantas</t>
  </si>
  <si>
    <t xml:space="preserve">Ação contra Pitágoras **Atenção** </t>
  </si>
  <si>
    <t>Thales Ferreira Silverio</t>
  </si>
  <si>
    <t>Thales + Michele</t>
  </si>
  <si>
    <t>Contrato de compra e venda</t>
  </si>
  <si>
    <t>execução trabalhista</t>
  </si>
  <si>
    <t>Holstein de Souza Coutinho</t>
  </si>
  <si>
    <t>acordo trabalhista</t>
  </si>
  <si>
    <t>Marli de Oliveira</t>
  </si>
  <si>
    <t>araujo</t>
  </si>
  <si>
    <t>Salario Dr Augusto</t>
  </si>
  <si>
    <t>dinheiro</t>
  </si>
  <si>
    <t>Amazon day 8/10</t>
  </si>
  <si>
    <t>iphone 5/10</t>
  </si>
  <si>
    <t>Amazon Notebooks 8/10</t>
  </si>
  <si>
    <t>Amazon Impressora 8/10</t>
  </si>
  <si>
    <t>Ombrelone canil 7/12</t>
  </si>
  <si>
    <t>Notebook kabum 7/10</t>
  </si>
  <si>
    <t>PERÍODO - 10/01 A 10/02</t>
  </si>
  <si>
    <t>ENTRADAS - Janeiro/22</t>
  </si>
  <si>
    <t>SAÍDAS - Janeiro/22</t>
  </si>
  <si>
    <t>Revisão de comunicado</t>
  </si>
  <si>
    <t>Thiago Mateus de Carvalho / Juliana Alves Nogueira</t>
  </si>
  <si>
    <t>Diego Brandao</t>
  </si>
  <si>
    <t>Diogo Moreira</t>
  </si>
  <si>
    <t>Kenderson Gurgel Lanza</t>
  </si>
  <si>
    <t>Kenderson</t>
  </si>
  <si>
    <t>evaldo</t>
  </si>
  <si>
    <t>porta copos + dispenser</t>
  </si>
  <si>
    <t>lixeira</t>
  </si>
  <si>
    <t>Haislan Alexsander Veloso</t>
  </si>
  <si>
    <t>Haislan</t>
  </si>
  <si>
    <t>Cheque Raimundo (LANÇADO ATRASADO)</t>
  </si>
  <si>
    <t>Cheque Raimundo</t>
  </si>
  <si>
    <t>Gilson Rodrigues Simão</t>
  </si>
  <si>
    <t>Execução traalhista</t>
  </si>
  <si>
    <t>salario Augusto</t>
  </si>
  <si>
    <t>salario Drielle</t>
  </si>
  <si>
    <t>Amazon day 9/10</t>
  </si>
  <si>
    <t>iphone 6/10</t>
  </si>
  <si>
    <t>Amazon Notebooks 9/10</t>
  </si>
  <si>
    <t>Amazon Impressora 9/10</t>
  </si>
  <si>
    <t>Ombrelone canil 8/12</t>
  </si>
  <si>
    <t>Notebook kabum 8/10</t>
  </si>
  <si>
    <t>caixa janeiro</t>
  </si>
  <si>
    <t>PERÍODO - 10/02 A 10/03</t>
  </si>
  <si>
    <t>ENTRADAS - Fevereiro/2022</t>
  </si>
  <si>
    <t>SAÍDAS - Fevereiro/2022</t>
  </si>
  <si>
    <t>pgto fatura</t>
  </si>
  <si>
    <t>Anfrisio Lima Neto (Gugu)</t>
  </si>
  <si>
    <t>Anfrisio Lima Neto (Gugu)/Samuel</t>
  </si>
  <si>
    <t>Samuel / Anfrisio Lima Neto (Gugu)</t>
  </si>
  <si>
    <t>Anfrisio Lima Neto (Gugu)/César</t>
  </si>
  <si>
    <t>Anfrisio Lima Neto (Gugu) / Samuel</t>
  </si>
  <si>
    <t>Samuel /Anfrisio Lima Neto (Gugu)</t>
  </si>
  <si>
    <t>Samuel/Anfrisio Lima Neto (Gugu)</t>
  </si>
  <si>
    <t>Adriana Arcanjo Santarelli</t>
  </si>
  <si>
    <t>Alex Souza do Nascimento</t>
  </si>
  <si>
    <t>Adelaine Fernanda Nunes</t>
  </si>
  <si>
    <t>Adolf Flitz Othon Lainert</t>
  </si>
  <si>
    <t>Altair Lourenço Vieira</t>
  </si>
  <si>
    <t>Adão de Paula de Oliveira</t>
  </si>
  <si>
    <t>Ana Caroline Reis Celestino de Freitas</t>
  </si>
  <si>
    <t>Adriana Mascarenhas Cesarini de Vasconcelos/Paulo Vasconcelos</t>
  </si>
  <si>
    <t>Defesa processo criminal</t>
  </si>
  <si>
    <t>Bruno Henrique Dias da Silva</t>
  </si>
  <si>
    <t>Breno Ribeiro Bacelar</t>
  </si>
  <si>
    <t>Vicentina Maria dos Santos Coutinho</t>
  </si>
  <si>
    <t>Vicentina Maria dos Santos Coutinho/ Carlos Alberto de Lima Coutinho Santos</t>
  </si>
  <si>
    <t>Carina Rodrigues Ferreira</t>
  </si>
  <si>
    <t>Cleiton Mendes Ribeiro</t>
  </si>
  <si>
    <t>Açao previdenciária</t>
  </si>
  <si>
    <t>Iltomar José Mendes</t>
  </si>
  <si>
    <t>Gracilei Marcelo Teixeira</t>
  </si>
  <si>
    <t>Bruna Leticia</t>
  </si>
  <si>
    <t>Euler Azevedo de Castro</t>
  </si>
  <si>
    <t>Edilene dos Santos de Moraes</t>
  </si>
  <si>
    <t>Elcio Rosa da Costa</t>
  </si>
  <si>
    <t>Edilson Alves de Souza</t>
  </si>
  <si>
    <t>Alvará  - Pedalada Fiscal</t>
  </si>
  <si>
    <t>Geraldo Nogueira de Souza</t>
  </si>
  <si>
    <t>Guilherme Raimundo da Conceição</t>
  </si>
  <si>
    <t>Idalia Cardoso Campos</t>
  </si>
  <si>
    <t>José Welton Serafim Alves</t>
  </si>
  <si>
    <t>Janyne Katia Ribeiro Simplicio</t>
  </si>
  <si>
    <t>Jacqueline de Mello</t>
  </si>
  <si>
    <t>Maria de Lourdes Santana da Costa Luz e José da Costa Luz</t>
  </si>
  <si>
    <t>Ladijane Lourenço da Silva</t>
  </si>
  <si>
    <t>Luciana de Carvalho Campos</t>
  </si>
  <si>
    <t>Miriam Gonçalves de Souza</t>
  </si>
  <si>
    <t>Maria do Carmo Roza</t>
  </si>
  <si>
    <t>Nadir Ambrosio Alves</t>
  </si>
  <si>
    <t>Nikolas Vlavianos Carmo da Silva</t>
  </si>
  <si>
    <t>Neuzete Vieira Fernandes</t>
  </si>
  <si>
    <t xml:space="preserve">cemig </t>
  </si>
  <si>
    <t>Cadeiras Sr. Isac</t>
  </si>
  <si>
    <t>Roçadeira 1/10</t>
  </si>
  <si>
    <t>Paulo Cezar de Campos /Daniele</t>
  </si>
  <si>
    <t>Paulo Henrique Oliveira da Silva</t>
  </si>
  <si>
    <t>Priscila Hannah de Rezende Machado da Silva / Paulo X HDI</t>
  </si>
  <si>
    <t>Priscila Hannah de Rezende Machado da Silva X HDI</t>
  </si>
  <si>
    <t>Priscila Hannah de Rezende Machado da Silva/ Paulo HDI</t>
  </si>
  <si>
    <t>Priscila Hannah de Rezende Machado da Silva</t>
  </si>
  <si>
    <t>Reginaldo Moreira</t>
  </si>
  <si>
    <t>Ronaldo Rosa da Silva / Copasa</t>
  </si>
  <si>
    <t>Terezinha Alice de Souza</t>
  </si>
  <si>
    <t>Tatiane de Araujo Sousa da Silva</t>
  </si>
  <si>
    <t>Valmir Costa Ribeiro</t>
  </si>
  <si>
    <t>Vander Carlos da Costa</t>
  </si>
  <si>
    <t>Valdinea Maria Santos</t>
  </si>
  <si>
    <t>Wanderson da Silva Barbalios</t>
  </si>
  <si>
    <t>Warley de Souza Batista</t>
  </si>
  <si>
    <t>Wellington Lucio Batista</t>
  </si>
  <si>
    <t>Wdson Epitacio Martins</t>
  </si>
  <si>
    <t>Lucas Emanuel Vieira Araujo</t>
  </si>
  <si>
    <t>Adiantamento de contrato</t>
  </si>
  <si>
    <t>Lucas Emanuel</t>
  </si>
  <si>
    <t xml:space="preserve">Cheque depositado </t>
  </si>
  <si>
    <t>Edilaine Cristina Viana</t>
  </si>
  <si>
    <t>Gilson Rodrigues Alves</t>
  </si>
  <si>
    <t>Salario Drielle</t>
  </si>
  <si>
    <t>iphone 7/10</t>
  </si>
  <si>
    <t>Amazon day 10/10</t>
  </si>
  <si>
    <t>Amazon Notebooks 10/10</t>
  </si>
  <si>
    <t>Amazon Impressora 10/10</t>
  </si>
  <si>
    <t>Ombrelone canil 9/12</t>
  </si>
  <si>
    <t>Notebook kabum 9/10</t>
  </si>
  <si>
    <t>Roçadeira 2/10</t>
  </si>
  <si>
    <t>SAÍDAS - Março/2022</t>
  </si>
  <si>
    <t>PERÍODO - 10/03 A 10/04</t>
  </si>
  <si>
    <t>ENTRADAS - Março/2022</t>
  </si>
  <si>
    <t>salario drielle</t>
  </si>
  <si>
    <t>salario bocao</t>
  </si>
  <si>
    <t>conserto impressora</t>
  </si>
  <si>
    <t>salario augusto</t>
  </si>
  <si>
    <t>lotes</t>
  </si>
  <si>
    <t>Valdemar Lourenço</t>
  </si>
  <si>
    <t>Lanche e outros</t>
  </si>
  <si>
    <t>papel a4</t>
  </si>
  <si>
    <t>Anderson Ricardo Cotta / Geralda dos Santos Cotta</t>
  </si>
  <si>
    <t>anderson cotta</t>
  </si>
  <si>
    <t>Maria Auxiliadora Costa Ribeiro Belo</t>
  </si>
  <si>
    <t>Defesa civil</t>
  </si>
  <si>
    <t>maria auxiliadora</t>
  </si>
  <si>
    <t>chip tel novo</t>
  </si>
  <si>
    <t>Wantuil Ottoni de Aredes</t>
  </si>
  <si>
    <t>Maria Natalicia / Ná Rayssa</t>
  </si>
  <si>
    <t>31/04</t>
  </si>
  <si>
    <t>luciano jacare</t>
  </si>
  <si>
    <t>Luciano Lucimar Teixeira da Silva/ Natalia Monteiro Teixeira</t>
  </si>
  <si>
    <t>PERÍODO - 10/04 A 10/05</t>
  </si>
  <si>
    <t>ENTRADAS - Abril/2022</t>
  </si>
  <si>
    <t>iphone 8/10</t>
  </si>
  <si>
    <t>Ombrelone canil 10/12</t>
  </si>
  <si>
    <t>Notebook kabum 10/10</t>
  </si>
  <si>
    <t>Roçadeira 3/10</t>
  </si>
  <si>
    <t>Viviane Feliciano</t>
  </si>
  <si>
    <t>Ana Luiza Vitorino</t>
  </si>
  <si>
    <t>Ação Civel</t>
  </si>
  <si>
    <t>Felipe Diogo</t>
  </si>
  <si>
    <t>Gracilei Marcelo</t>
  </si>
  <si>
    <t>vinhos</t>
  </si>
  <si>
    <t>vinhos, batata palha e papel toalhe</t>
  </si>
  <si>
    <t>pagar pedreiro</t>
  </si>
  <si>
    <t>complemento salario augusto e drielle</t>
  </si>
  <si>
    <t>Maria Alves Salerme</t>
  </si>
  <si>
    <t>Lançado na data errada / Defesa trabalhista</t>
  </si>
  <si>
    <t>lucas emanuel</t>
  </si>
  <si>
    <t>wantuil</t>
  </si>
  <si>
    <t>Kenderson Gurgel</t>
  </si>
  <si>
    <t>Thiago Marques de Sousa</t>
  </si>
  <si>
    <t>compras</t>
  </si>
  <si>
    <t>passagens MC 1/12</t>
  </si>
  <si>
    <t>café da manhã</t>
  </si>
  <si>
    <t>compras escritorio</t>
  </si>
  <si>
    <t>acerto Michele</t>
  </si>
  <si>
    <t>salario + VT Augusto</t>
  </si>
  <si>
    <t>Geiza Botelho Faria Vieira</t>
  </si>
  <si>
    <t>Wendel Gomes Soares</t>
  </si>
  <si>
    <t>Bruno Henrique Dias</t>
  </si>
  <si>
    <t>Marcelo Augusto</t>
  </si>
  <si>
    <t>compras paranaiba</t>
  </si>
  <si>
    <t>Geraldo Moreira Braga</t>
  </si>
  <si>
    <t>Adriano Ferreira dos Santos</t>
  </si>
  <si>
    <t>Flavio da Silva Sa</t>
  </si>
  <si>
    <t>Mauricio Xavier</t>
  </si>
  <si>
    <t>Marcelo Tataki Tiago Silva de Souza</t>
  </si>
  <si>
    <t>iphone 9/10</t>
  </si>
  <si>
    <t>passagens MC 2/12</t>
  </si>
  <si>
    <t>Ombrelone canil 11/12</t>
  </si>
  <si>
    <t>Roçadeira 4/10</t>
  </si>
  <si>
    <t>dolares</t>
  </si>
  <si>
    <t>Alexandre Gleidson Gomes</t>
  </si>
  <si>
    <t>Vitalino Eleuterio</t>
  </si>
  <si>
    <t>Pagamento Sr Eustaquio</t>
  </si>
  <si>
    <t>apto maria stella</t>
  </si>
  <si>
    <t>diferminas  1/10</t>
  </si>
  <si>
    <t>condominio maria stella</t>
  </si>
  <si>
    <t>Beneficio</t>
  </si>
  <si>
    <t>Maria Lindalva Elson</t>
  </si>
  <si>
    <t>Amaro Carlos da Silva Neto / Douglas Coelho de Mattos Chagas</t>
  </si>
  <si>
    <t>Juan Cesar Novais Ribeiro</t>
  </si>
  <si>
    <t xml:space="preserve">lucas </t>
  </si>
  <si>
    <t>ingredientes marta</t>
  </si>
  <si>
    <t>limpeza casa</t>
  </si>
  <si>
    <t>materiais mauro</t>
  </si>
  <si>
    <t xml:space="preserve">faxina </t>
  </si>
  <si>
    <t>café da manha</t>
  </si>
  <si>
    <t>ENTRADAS - Maio/2022</t>
  </si>
  <si>
    <t>SAÍDAS - Maio/2022</t>
  </si>
  <si>
    <t>Wilson da Silva / Maristela Martins de Souza</t>
  </si>
  <si>
    <t>ieda</t>
  </si>
  <si>
    <t>Acerto Jaqueline</t>
  </si>
  <si>
    <t>David pintor maria stella</t>
  </si>
  <si>
    <t>Beneficio IPSEMG</t>
  </si>
  <si>
    <t>Calculos</t>
  </si>
  <si>
    <t>Benedito Rui Barbosa</t>
  </si>
  <si>
    <t>Robert Gomes Teixeira Dias</t>
  </si>
  <si>
    <t>Marco Tulio de Andrade</t>
  </si>
  <si>
    <t>eustáquio</t>
  </si>
  <si>
    <t>Salario + VT Augusto</t>
  </si>
  <si>
    <t>limpeza escritorio + rafael</t>
  </si>
  <si>
    <t>credito celular escritorio</t>
  </si>
  <si>
    <t>Salario Marta</t>
  </si>
  <si>
    <t xml:space="preserve">fatura </t>
  </si>
  <si>
    <t>subway</t>
  </si>
  <si>
    <t>Marcilia Pimentel</t>
  </si>
  <si>
    <t>total devido rafael</t>
  </si>
  <si>
    <t>total a receber bocao</t>
  </si>
  <si>
    <t>Marta</t>
  </si>
  <si>
    <t>passagens MC 3/12</t>
  </si>
  <si>
    <t>diferminas  2/10</t>
  </si>
  <si>
    <t>iphone 10/10</t>
  </si>
  <si>
    <t>Ombrelone canil 12/12</t>
  </si>
  <si>
    <t>Roçadeira 5/10</t>
  </si>
  <si>
    <t>Parcela Maria Stella</t>
  </si>
  <si>
    <t>parcela Maria Stella</t>
  </si>
  <si>
    <t>ferragens 2/6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</si>
</sst>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\ * #,##0.00_-;\-&quot;R$&quot;\ * #,##0.00_-;_-&quot;R$&quot;\ * &quot;-&quot;??_-;_-@_-"/>
    <numFmt numFmtId="165" formatCode="_-&quot;R$&quot;* #,##0.00_-;\-&quot;R$&quot;* #,##0.00_-;_-&quot;R$&quot;* &quot;-&quot;??_-;_-@_-"/>
    <numFmt numFmtId="166" formatCode="_-[$R$-416]\ * #,##0.00_-;\-[$R$-416]\ * #,##0.00_-;_-[$R$-416]\ 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 val="singleAccounting"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5">
    <xf numFmtId="0" fontId="0" fillId="0" borderId="0" xfId="0"/>
    <xf numFmtId="0" fontId="2" fillId="0" borderId="0" xfId="0" applyFont="1"/>
    <xf numFmtId="0" fontId="2" fillId="0" borderId="1" xfId="0" applyFont="1" applyBorder="1"/>
    <xf numFmtId="166" fontId="2" fillId="0" borderId="1" xfId="0" applyNumberFormat="1" applyFont="1" applyBorder="1"/>
    <xf numFmtId="164" fontId="2" fillId="0" borderId="1" xfId="1" applyFont="1" applyBorder="1"/>
    <xf numFmtId="14" fontId="2" fillId="0" borderId="1" xfId="0" applyNumberFormat="1" applyFont="1" applyBorder="1"/>
    <xf numFmtId="14" fontId="2" fillId="0" borderId="1" xfId="0" applyNumberFormat="1" applyFont="1" applyBorder="1" applyAlignment="1">
      <alignment horizontal="left"/>
    </xf>
    <xf numFmtId="164" fontId="2" fillId="0" borderId="1" xfId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center"/>
    </xf>
    <xf numFmtId="166" fontId="2" fillId="0" borderId="0" xfId="0" applyNumberFormat="1" applyFont="1"/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4" fontId="2" fillId="0" borderId="0" xfId="0" applyNumberFormat="1" applyFont="1"/>
    <xf numFmtId="164" fontId="2" fillId="0" borderId="0" xfId="1" applyFont="1" applyBorder="1"/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166" fontId="4" fillId="0" borderId="0" xfId="0" applyNumberFormat="1" applyFont="1"/>
    <xf numFmtId="14" fontId="4" fillId="0" borderId="0" xfId="0" applyNumberFormat="1" applyFont="1"/>
    <xf numFmtId="164" fontId="2" fillId="0" borderId="1" xfId="0" applyNumberFormat="1" applyFont="1" applyBorder="1"/>
    <xf numFmtId="14" fontId="2" fillId="0" borderId="1" xfId="1" applyNumberFormat="1" applyFont="1" applyBorder="1"/>
    <xf numFmtId="0" fontId="4" fillId="0" borderId="1" xfId="1" applyNumberFormat="1" applyFont="1" applyBorder="1"/>
    <xf numFmtId="164" fontId="4" fillId="0" borderId="1" xfId="0" applyNumberFormat="1" applyFont="1" applyBorder="1"/>
    <xf numFmtId="166" fontId="4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14" fontId="0" fillId="0" borderId="1" xfId="0" applyNumberFormat="1" applyBorder="1"/>
    <xf numFmtId="0" fontId="4" fillId="0" borderId="0" xfId="0" applyFont="1" applyAlignment="1">
      <alignment horizontal="center"/>
    </xf>
    <xf numFmtId="164" fontId="2" fillId="0" borderId="2" xfId="1" applyFont="1" applyBorder="1" applyAlignment="1">
      <alignment horizontal="left"/>
    </xf>
    <xf numFmtId="164" fontId="2" fillId="0" borderId="4" xfId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4" fontId="2" fillId="0" borderId="0" xfId="1" applyFont="1" applyFill="1" applyBorder="1" applyAlignment="1">
      <alignment horizontal="left"/>
    </xf>
    <xf numFmtId="0" fontId="0" fillId="0" borderId="6" xfId="0" applyBorder="1"/>
    <xf numFmtId="164" fontId="2" fillId="0" borderId="1" xfId="1" applyFont="1" applyFill="1" applyBorder="1"/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164" fontId="2" fillId="0" borderId="2" xfId="1" applyFont="1" applyBorder="1" applyAlignment="1"/>
    <xf numFmtId="0" fontId="2" fillId="0" borderId="1" xfId="1" applyNumberFormat="1" applyFont="1" applyBorder="1" applyAlignment="1">
      <alignment horizontal="left"/>
    </xf>
    <xf numFmtId="0" fontId="2" fillId="0" borderId="2" xfId="1" applyNumberFormat="1" applyFont="1" applyBorder="1" applyAlignment="1">
      <alignment horizontal="left"/>
    </xf>
    <xf numFmtId="0" fontId="2" fillId="0" borderId="4" xfId="1" applyNumberFormat="1" applyFont="1" applyBorder="1" applyAlignment="1">
      <alignment horizontal="left"/>
    </xf>
    <xf numFmtId="16" fontId="0" fillId="0" borderId="0" xfId="0" applyNumberFormat="1"/>
    <xf numFmtId="164" fontId="2" fillId="0" borderId="1" xfId="1" applyFont="1" applyBorder="1" applyAlignment="1"/>
    <xf numFmtId="0" fontId="2" fillId="0" borderId="1" xfId="1" applyNumberFormat="1" applyFont="1" applyBorder="1"/>
    <xf numFmtId="16" fontId="2" fillId="0" borderId="1" xfId="1" applyNumberFormat="1" applyFont="1" applyBorder="1"/>
    <xf numFmtId="164" fontId="4" fillId="0" borderId="1" xfId="1" applyFont="1" applyBorder="1" applyAlignment="1"/>
    <xf numFmtId="14" fontId="4" fillId="0" borderId="1" xfId="0" applyNumberFormat="1" applyFont="1" applyBorder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6" fontId="0" fillId="0" borderId="1" xfId="0" applyNumberFormat="1" applyBorder="1"/>
    <xf numFmtId="0" fontId="6" fillId="0" borderId="1" xfId="0" applyFont="1" applyBorder="1"/>
    <xf numFmtId="0" fontId="7" fillId="0" borderId="1" xfId="0" applyFont="1" applyBorder="1"/>
    <xf numFmtId="164" fontId="2" fillId="2" borderId="1" xfId="1" applyFont="1" applyFill="1" applyBorder="1"/>
    <xf numFmtId="0" fontId="0" fillId="2" borderId="1" xfId="0" applyFill="1" applyBorder="1"/>
    <xf numFmtId="14" fontId="2" fillId="3" borderId="1" xfId="0" applyNumberFormat="1" applyFont="1" applyFill="1" applyBorder="1" applyAlignment="1">
      <alignment horizontal="left"/>
    </xf>
    <xf numFmtId="164" fontId="2" fillId="3" borderId="1" xfId="1" applyFont="1" applyFill="1" applyBorder="1"/>
    <xf numFmtId="164" fontId="0" fillId="0" borderId="0" xfId="0" applyNumberFormat="1"/>
    <xf numFmtId="164" fontId="2" fillId="4" borderId="1" xfId="1" applyFont="1" applyFill="1" applyBorder="1" applyAlignment="1">
      <alignment horizontal="left"/>
    </xf>
    <xf numFmtId="0" fontId="5" fillId="0" borderId="15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164" fontId="5" fillId="4" borderId="18" xfId="1" applyFont="1" applyFill="1" applyBorder="1" applyAlignment="1">
      <alignment horizontal="center"/>
    </xf>
    <xf numFmtId="164" fontId="0" fillId="4" borderId="14" xfId="1" applyFont="1" applyFill="1" applyBorder="1"/>
    <xf numFmtId="0" fontId="4" fillId="0" borderId="0" xfId="0" applyFont="1" applyAlignment="1">
      <alignment wrapText="1"/>
    </xf>
    <xf numFmtId="0" fontId="2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4" borderId="10" xfId="1" applyFont="1" applyFill="1" applyBorder="1"/>
    <xf numFmtId="164" fontId="4" fillId="2" borderId="8" xfId="1" applyFont="1" applyFill="1" applyBorder="1"/>
    <xf numFmtId="164" fontId="0" fillId="4" borderId="19" xfId="1" applyFont="1" applyFill="1" applyBorder="1"/>
    <xf numFmtId="0" fontId="5" fillId="0" borderId="20" xfId="0" applyFont="1" applyBorder="1" applyAlignment="1">
      <alignment horizontal="center"/>
    </xf>
    <xf numFmtId="165" fontId="4" fillId="0" borderId="21" xfId="0" applyNumberFormat="1" applyFont="1" applyBorder="1" applyAlignment="1">
      <alignment horizontal="center"/>
    </xf>
    <xf numFmtId="165" fontId="4" fillId="0" borderId="8" xfId="0" applyNumberFormat="1" applyFont="1" applyBorder="1"/>
    <xf numFmtId="14" fontId="2" fillId="0" borderId="23" xfId="1" applyNumberFormat="1" applyFont="1" applyBorder="1"/>
    <xf numFmtId="0" fontId="0" fillId="0" borderId="24" xfId="0" applyBorder="1"/>
    <xf numFmtId="0" fontId="2" fillId="0" borderId="24" xfId="0" applyFont="1" applyBorder="1"/>
    <xf numFmtId="14" fontId="2" fillId="0" borderId="23" xfId="0" applyNumberFormat="1" applyFont="1" applyBorder="1"/>
    <xf numFmtId="0" fontId="2" fillId="0" borderId="7" xfId="0" applyFont="1" applyBorder="1"/>
    <xf numFmtId="14" fontId="2" fillId="0" borderId="26" xfId="1" applyNumberFormat="1" applyFont="1" applyBorder="1"/>
    <xf numFmtId="164" fontId="2" fillId="0" borderId="22" xfId="1" applyFont="1" applyBorder="1"/>
    <xf numFmtId="0" fontId="4" fillId="0" borderId="27" xfId="0" applyFont="1" applyBorder="1"/>
    <xf numFmtId="164" fontId="4" fillId="0" borderId="28" xfId="0" applyNumberFormat="1" applyFont="1" applyBorder="1"/>
    <xf numFmtId="0" fontId="2" fillId="0" borderId="29" xfId="0" applyFont="1" applyBorder="1"/>
    <xf numFmtId="14" fontId="2" fillId="0" borderId="30" xfId="1" applyNumberFormat="1" applyFont="1" applyBorder="1"/>
    <xf numFmtId="164" fontId="2" fillId="0" borderId="31" xfId="0" applyNumberFormat="1" applyFont="1" applyBorder="1"/>
    <xf numFmtId="0" fontId="0" fillId="0" borderId="32" xfId="0" applyBorder="1"/>
    <xf numFmtId="16" fontId="0" fillId="0" borderId="24" xfId="0" applyNumberFormat="1" applyBorder="1"/>
    <xf numFmtId="0" fontId="0" fillId="0" borderId="23" xfId="0" applyBorder="1"/>
    <xf numFmtId="0" fontId="0" fillId="2" borderId="24" xfId="0" applyFill="1" applyBorder="1"/>
    <xf numFmtId="0" fontId="0" fillId="0" borderId="25" xfId="0" applyBorder="1"/>
    <xf numFmtId="164" fontId="2" fillId="0" borderId="31" xfId="1" applyFont="1" applyBorder="1"/>
    <xf numFmtId="0" fontId="4" fillId="0" borderId="8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64" fontId="5" fillId="5" borderId="16" xfId="1" applyFont="1" applyFill="1" applyBorder="1" applyAlignment="1">
      <alignment horizontal="center"/>
    </xf>
    <xf numFmtId="164" fontId="0" fillId="5" borderId="13" xfId="1" applyFont="1" applyFill="1" applyBorder="1"/>
    <xf numFmtId="164" fontId="0" fillId="5" borderId="19" xfId="1" applyFont="1" applyFill="1" applyBorder="1"/>
    <xf numFmtId="164" fontId="0" fillId="5" borderId="9" xfId="1" applyFont="1" applyFill="1" applyBorder="1"/>
    <xf numFmtId="164" fontId="2" fillId="5" borderId="1" xfId="1" applyFont="1" applyFill="1" applyBorder="1" applyAlignment="1">
      <alignment horizontal="left"/>
    </xf>
    <xf numFmtId="14" fontId="2" fillId="6" borderId="1" xfId="0" applyNumberFormat="1" applyFont="1" applyFill="1" applyBorder="1" applyAlignment="1">
      <alignment horizontal="left"/>
    </xf>
    <xf numFmtId="164" fontId="2" fillId="6" borderId="1" xfId="1" applyFont="1" applyFill="1" applyBorder="1"/>
    <xf numFmtId="0" fontId="0" fillId="6" borderId="0" xfId="0" applyFill="1"/>
    <xf numFmtId="14" fontId="2" fillId="4" borderId="1" xfId="0" applyNumberFormat="1" applyFont="1" applyFill="1" applyBorder="1" applyAlignment="1">
      <alignment horizontal="left"/>
    </xf>
    <xf numFmtId="164" fontId="0" fillId="0" borderId="0" xfId="1" applyFont="1"/>
    <xf numFmtId="14" fontId="2" fillId="7" borderId="1" xfId="0" applyNumberFormat="1" applyFont="1" applyFill="1" applyBorder="1" applyAlignment="1">
      <alignment horizontal="left"/>
    </xf>
    <xf numFmtId="164" fontId="2" fillId="7" borderId="1" xfId="1" applyFont="1" applyFill="1" applyBorder="1"/>
    <xf numFmtId="0" fontId="0" fillId="7" borderId="0" xfId="0" applyFill="1"/>
    <xf numFmtId="164" fontId="2" fillId="4" borderId="1" xfId="1" applyFont="1" applyFill="1" applyBorder="1"/>
    <xf numFmtId="164" fontId="2" fillId="8" borderId="1" xfId="1" applyFont="1" applyFill="1" applyBorder="1"/>
    <xf numFmtId="14" fontId="2" fillId="5" borderId="1" xfId="0" applyNumberFormat="1" applyFont="1" applyFill="1" applyBorder="1" applyAlignment="1">
      <alignment horizontal="left"/>
    </xf>
    <xf numFmtId="164" fontId="2" fillId="5" borderId="1" xfId="1" applyFont="1" applyFill="1" applyBorder="1"/>
    <xf numFmtId="0" fontId="0" fillId="5" borderId="0" xfId="0" applyFill="1"/>
    <xf numFmtId="0" fontId="0" fillId="4" borderId="0" xfId="0" applyFill="1"/>
    <xf numFmtId="0" fontId="0" fillId="2" borderId="0" xfId="0" applyFill="1"/>
    <xf numFmtId="164" fontId="0" fillId="2" borderId="0" xfId="1" applyFont="1" applyFill="1"/>
    <xf numFmtId="164" fontId="0" fillId="8" borderId="0" xfId="1" applyFont="1" applyFill="1"/>
    <xf numFmtId="164" fontId="2" fillId="2" borderId="31" xfId="0" applyNumberFormat="1" applyFont="1" applyFill="1" applyBorder="1"/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14" fontId="2" fillId="2" borderId="1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4" fontId="2" fillId="2" borderId="1" xfId="1" applyFont="1" applyFill="1" applyBorder="1" applyAlignment="1">
      <alignment horizontal="left"/>
    </xf>
    <xf numFmtId="0" fontId="8" fillId="0" borderId="0" xfId="0" applyFont="1"/>
    <xf numFmtId="164" fontId="1" fillId="0" borderId="0" xfId="1" applyFont="1" applyBorder="1"/>
    <xf numFmtId="0" fontId="0" fillId="6" borderId="35" xfId="0" applyFill="1" applyBorder="1"/>
    <xf numFmtId="164" fontId="0" fillId="0" borderId="36" xfId="1" applyFont="1" applyBorder="1"/>
    <xf numFmtId="0" fontId="0" fillId="7" borderId="23" xfId="0" applyFill="1" applyBorder="1"/>
    <xf numFmtId="164" fontId="1" fillId="0" borderId="24" xfId="1" applyFont="1" applyBorder="1"/>
    <xf numFmtId="0" fontId="0" fillId="5" borderId="23" xfId="0" applyFill="1" applyBorder="1"/>
    <xf numFmtId="164" fontId="0" fillId="0" borderId="24" xfId="1" applyFont="1" applyBorder="1"/>
    <xf numFmtId="0" fontId="0" fillId="4" borderId="37" xfId="0" applyFill="1" applyBorder="1"/>
    <xf numFmtId="164" fontId="0" fillId="2" borderId="38" xfId="1" applyFont="1" applyFill="1" applyBorder="1"/>
    <xf numFmtId="0" fontId="0" fillId="0" borderId="7" xfId="0" applyBorder="1"/>
    <xf numFmtId="14" fontId="2" fillId="2" borderId="0" xfId="0" applyNumberFormat="1" applyFont="1" applyFill="1" applyAlignment="1">
      <alignment horizontal="left"/>
    </xf>
    <xf numFmtId="164" fontId="2" fillId="2" borderId="0" xfId="1" applyFont="1" applyFill="1" applyBorder="1"/>
    <xf numFmtId="164" fontId="2" fillId="4" borderId="39" xfId="1" applyFont="1" applyFill="1" applyBorder="1"/>
    <xf numFmtId="164" fontId="9" fillId="5" borderId="1" xfId="1" applyFont="1" applyFill="1" applyBorder="1"/>
    <xf numFmtId="14" fontId="0" fillId="4" borderId="0" xfId="0" applyNumberFormat="1" applyFill="1"/>
    <xf numFmtId="164" fontId="0" fillId="0" borderId="1" xfId="1" applyFont="1" applyBorder="1"/>
    <xf numFmtId="16" fontId="0" fillId="0" borderId="23" xfId="0" applyNumberFormat="1" applyBorder="1"/>
    <xf numFmtId="164" fontId="9" fillId="6" borderId="1" xfId="1" applyFont="1" applyFill="1" applyBorder="1"/>
    <xf numFmtId="0" fontId="0" fillId="0" borderId="0" xfId="0" quotePrefix="1"/>
    <xf numFmtId="16" fontId="2" fillId="0" borderId="8" xfId="0" applyNumberFormat="1" applyFont="1" applyBorder="1" applyAlignment="1">
      <alignment horizontal="center"/>
    </xf>
    <xf numFmtId="0" fontId="2" fillId="0" borderId="41" xfId="0" applyFont="1" applyBorder="1" applyAlignment="1">
      <alignment horizontal="left"/>
    </xf>
    <xf numFmtId="0" fontId="0" fillId="0" borderId="42" xfId="0" applyBorder="1"/>
    <xf numFmtId="14" fontId="11" fillId="0" borderId="23" xfId="0" applyNumberFormat="1" applyFont="1" applyBorder="1"/>
    <xf numFmtId="0" fontId="4" fillId="0" borderId="43" xfId="0" applyFont="1" applyBorder="1"/>
    <xf numFmtId="164" fontId="4" fillId="0" borderId="44" xfId="0" applyNumberFormat="1" applyFont="1" applyBorder="1"/>
    <xf numFmtId="0" fontId="2" fillId="0" borderId="45" xfId="0" applyFont="1" applyBorder="1"/>
    <xf numFmtId="14" fontId="2" fillId="0" borderId="35" xfId="1" applyNumberFormat="1" applyFont="1" applyBorder="1"/>
    <xf numFmtId="164" fontId="2" fillId="2" borderId="41" xfId="1" applyFont="1" applyFill="1" applyBorder="1" applyAlignment="1">
      <alignment horizontal="left"/>
    </xf>
    <xf numFmtId="0" fontId="2" fillId="0" borderId="36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14" fontId="2" fillId="0" borderId="37" xfId="1" applyNumberFormat="1" applyFont="1" applyBorder="1"/>
    <xf numFmtId="164" fontId="2" fillId="0" borderId="42" xfId="1" applyFont="1" applyBorder="1"/>
    <xf numFmtId="0" fontId="0" fillId="0" borderId="38" xfId="0" applyBorder="1"/>
    <xf numFmtId="14" fontId="2" fillId="0" borderId="26" xfId="0" applyNumberFormat="1" applyFont="1" applyBorder="1"/>
    <xf numFmtId="164" fontId="2" fillId="2" borderId="22" xfId="1" applyFont="1" applyFill="1" applyBorder="1" applyAlignment="1">
      <alignment horizontal="left"/>
    </xf>
    <xf numFmtId="0" fontId="2" fillId="0" borderId="25" xfId="0" applyFont="1" applyBorder="1" applyAlignment="1">
      <alignment horizontal="left"/>
    </xf>
    <xf numFmtId="164" fontId="4" fillId="0" borderId="0" xfId="0" applyNumberFormat="1" applyFont="1"/>
    <xf numFmtId="164" fontId="2" fillId="3" borderId="1" xfId="1" applyFont="1" applyFill="1" applyBorder="1" applyAlignment="1">
      <alignment horizontal="left"/>
    </xf>
    <xf numFmtId="164" fontId="2" fillId="9" borderId="1" xfId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165" fontId="0" fillId="0" borderId="0" xfId="0" applyNumberFormat="1"/>
    <xf numFmtId="164" fontId="0" fillId="5" borderId="1" xfId="1" applyFont="1" applyFill="1" applyBorder="1"/>
    <xf numFmtId="164" fontId="2" fillId="7" borderId="1" xfId="1" applyFont="1" applyFill="1" applyBorder="1" applyAlignment="1">
      <alignment horizontal="left"/>
    </xf>
    <xf numFmtId="164" fontId="0" fillId="2" borderId="1" xfId="1" applyFont="1" applyFill="1" applyBorder="1"/>
    <xf numFmtId="164" fontId="2" fillId="10" borderId="1" xfId="1" applyFont="1" applyFill="1" applyBorder="1" applyAlignment="1">
      <alignment horizontal="left"/>
    </xf>
    <xf numFmtId="164" fontId="2" fillId="11" borderId="1" xfId="1" applyFont="1" applyFill="1" applyBorder="1" applyAlignment="1">
      <alignment horizontal="left"/>
    </xf>
    <xf numFmtId="166" fontId="0" fillId="0" borderId="0" xfId="0" applyNumberFormat="1"/>
    <xf numFmtId="164" fontId="12" fillId="3" borderId="1" xfId="1" applyFont="1" applyFill="1" applyBorder="1" applyAlignment="1">
      <alignment horizontal="left"/>
    </xf>
    <xf numFmtId="0" fontId="0" fillId="0" borderId="24" xfId="0" applyBorder="1" applyAlignment="1">
      <alignment wrapText="1"/>
    </xf>
    <xf numFmtId="16" fontId="0" fillId="0" borderId="26" xfId="0" applyNumberFormat="1" applyBorder="1"/>
    <xf numFmtId="164" fontId="2" fillId="2" borderId="22" xfId="1" applyFont="1" applyFill="1" applyBorder="1"/>
    <xf numFmtId="164" fontId="2" fillId="5" borderId="39" xfId="1" applyFont="1" applyFill="1" applyBorder="1" applyAlignment="1">
      <alignment horizontal="left"/>
    </xf>
    <xf numFmtId="164" fontId="2" fillId="2" borderId="39" xfId="1" applyFont="1" applyFill="1" applyBorder="1" applyAlignment="1">
      <alignment horizontal="left"/>
    </xf>
    <xf numFmtId="164" fontId="5" fillId="0" borderId="0" xfId="1" applyFont="1" applyAlignment="1"/>
    <xf numFmtId="0" fontId="4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4" fontId="2" fillId="0" borderId="2" xfId="1" applyFont="1" applyBorder="1" applyAlignment="1">
      <alignment horizontal="left"/>
    </xf>
    <xf numFmtId="164" fontId="2" fillId="0" borderId="4" xfId="1" applyFont="1" applyBorder="1" applyAlignment="1">
      <alignment horizontal="left"/>
    </xf>
    <xf numFmtId="164" fontId="2" fillId="0" borderId="2" xfId="1" applyFont="1" applyBorder="1" applyAlignment="1">
      <alignment horizontal="right"/>
    </xf>
    <xf numFmtId="164" fontId="2" fillId="0" borderId="3" xfId="1" applyFont="1" applyBorder="1" applyAlignment="1">
      <alignment horizontal="right"/>
    </xf>
    <xf numFmtId="164" fontId="2" fillId="0" borderId="4" xfId="1" applyFont="1" applyBorder="1" applyAlignment="1">
      <alignment horizontal="right"/>
    </xf>
    <xf numFmtId="0" fontId="2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7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164" fontId="2" fillId="0" borderId="1" xfId="1" applyFont="1" applyBorder="1" applyAlignment="1">
      <alignment horizontal="left"/>
    </xf>
    <xf numFmtId="0" fontId="2" fillId="0" borderId="1" xfId="1" applyNumberFormat="1" applyFont="1" applyBorder="1" applyAlignment="1">
      <alignment horizontal="left"/>
    </xf>
    <xf numFmtId="0" fontId="2" fillId="0" borderId="2" xfId="1" applyNumberFormat="1" applyFont="1" applyBorder="1" applyAlignment="1">
      <alignment horizontal="left"/>
    </xf>
    <xf numFmtId="0" fontId="2" fillId="0" borderId="4" xfId="1" applyNumberFormat="1" applyFont="1" applyBorder="1" applyAlignment="1">
      <alignment horizontal="left"/>
    </xf>
    <xf numFmtId="0" fontId="4" fillId="0" borderId="7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4" fontId="4" fillId="0" borderId="11" xfId="1" applyNumberFormat="1" applyFont="1" applyBorder="1" applyAlignment="1">
      <alignment horizontal="center"/>
    </xf>
    <xf numFmtId="14" fontId="4" fillId="0" borderId="21" xfId="1" applyNumberFormat="1" applyFont="1" applyBorder="1" applyAlignment="1">
      <alignment horizontal="center"/>
    </xf>
    <xf numFmtId="14" fontId="4" fillId="0" borderId="12" xfId="1" applyNumberFormat="1" applyFont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3" fillId="0" borderId="33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10" fillId="0" borderId="0" xfId="0" applyFont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48"/>
  <sheetViews>
    <sheetView zoomScaleNormal="100" workbookViewId="0">
      <selection activeCell="K5" sqref="K5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</cols>
  <sheetData>
    <row r="1" spans="1:12" ht="18.75" x14ac:dyDescent="0.3">
      <c r="A1" s="184" t="s">
        <v>0</v>
      </c>
      <c r="B1" s="184"/>
      <c r="C1" s="10"/>
      <c r="D1" s="199" t="s">
        <v>55</v>
      </c>
      <c r="E1" s="200"/>
      <c r="G1" s="184" t="s">
        <v>24</v>
      </c>
      <c r="H1" s="184"/>
      <c r="I1" s="184"/>
      <c r="J1" s="184"/>
      <c r="K1" s="184"/>
      <c r="L1" s="184"/>
    </row>
    <row r="2" spans="1:12" ht="18.75" x14ac:dyDescent="0.3">
      <c r="A2" s="184" t="s">
        <v>70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H18</f>
        <v>8385</v>
      </c>
      <c r="C3" s="11"/>
      <c r="D3" s="2" t="s">
        <v>1</v>
      </c>
      <c r="E3" s="2" t="s">
        <v>6</v>
      </c>
      <c r="G3" s="6"/>
      <c r="H3" s="7">
        <v>300</v>
      </c>
      <c r="I3" s="187" t="s">
        <v>15</v>
      </c>
      <c r="J3" s="188"/>
      <c r="K3" s="8" t="s">
        <v>16</v>
      </c>
      <c r="L3" s="8" t="s">
        <v>57</v>
      </c>
    </row>
    <row r="4" spans="1:12" ht="15.75" x14ac:dyDescent="0.25">
      <c r="A4" s="2" t="s">
        <v>3</v>
      </c>
      <c r="B4" s="3"/>
      <c r="C4" s="11"/>
      <c r="D4" s="5">
        <v>42460</v>
      </c>
      <c r="E4" s="21">
        <v>60</v>
      </c>
      <c r="G4" s="6"/>
      <c r="H4" s="7">
        <v>1685</v>
      </c>
      <c r="I4" s="187" t="s">
        <v>18</v>
      </c>
      <c r="J4" s="188"/>
      <c r="K4" s="8" t="s">
        <v>17</v>
      </c>
      <c r="L4" s="8" t="s">
        <v>10</v>
      </c>
    </row>
    <row r="5" spans="1:12" ht="15.75" x14ac:dyDescent="0.25">
      <c r="A5" s="2" t="s">
        <v>4</v>
      </c>
      <c r="B5" s="3">
        <f>SUM(H22:H30)</f>
        <v>2794.6899999999996</v>
      </c>
      <c r="C5" s="11"/>
      <c r="D5" s="5"/>
      <c r="E5" s="21"/>
      <c r="G5" s="6">
        <v>42450</v>
      </c>
      <c r="H5" s="7">
        <v>1500</v>
      </c>
      <c r="I5" s="187" t="s">
        <v>19</v>
      </c>
      <c r="J5" s="188"/>
      <c r="K5" s="8" t="s">
        <v>20</v>
      </c>
      <c r="L5" s="8" t="s">
        <v>10</v>
      </c>
    </row>
    <row r="6" spans="1:12" ht="15.75" x14ac:dyDescent="0.25">
      <c r="A6" s="2"/>
      <c r="B6" s="3"/>
      <c r="C6" s="11"/>
      <c r="D6" s="22"/>
      <c r="E6" s="21"/>
      <c r="G6" s="6"/>
      <c r="H6" s="7">
        <v>200</v>
      </c>
      <c r="I6" s="187" t="s">
        <v>21</v>
      </c>
      <c r="J6" s="188"/>
      <c r="K6" s="8" t="s">
        <v>22</v>
      </c>
      <c r="L6" s="8" t="s">
        <v>57</v>
      </c>
    </row>
    <row r="7" spans="1:12" ht="15.75" x14ac:dyDescent="0.25">
      <c r="A7" s="12" t="s">
        <v>5</v>
      </c>
      <c r="B7" s="25">
        <f>B3+B4-B5</f>
        <v>5590.31</v>
      </c>
      <c r="C7" s="11"/>
      <c r="D7" s="22"/>
      <c r="E7" s="21"/>
      <c r="G7" s="6"/>
      <c r="H7" s="7">
        <v>1000</v>
      </c>
      <c r="I7" s="187" t="s">
        <v>34</v>
      </c>
      <c r="J7" s="188"/>
      <c r="K7" s="8" t="s">
        <v>35</v>
      </c>
      <c r="L7" s="8" t="s">
        <v>10</v>
      </c>
    </row>
    <row r="8" spans="1:12" ht="15.75" x14ac:dyDescent="0.25">
      <c r="A8" s="2"/>
      <c r="B8" s="3"/>
      <c r="C8" s="11"/>
      <c r="D8" s="22"/>
      <c r="E8" s="21"/>
      <c r="G8" s="6"/>
      <c r="H8" s="7">
        <v>300</v>
      </c>
      <c r="I8" s="191" t="s">
        <v>36</v>
      </c>
      <c r="J8" s="192"/>
      <c r="K8" s="8" t="s">
        <v>37</v>
      </c>
      <c r="L8" s="8" t="s">
        <v>57</v>
      </c>
    </row>
    <row r="9" spans="1:12" ht="15.75" x14ac:dyDescent="0.25">
      <c r="A9" s="2" t="s">
        <v>14</v>
      </c>
      <c r="B9" s="3"/>
      <c r="C9" s="11"/>
      <c r="D9" s="23" t="s">
        <v>23</v>
      </c>
      <c r="E9" s="24">
        <f>SUM(E4:E8)</f>
        <v>60</v>
      </c>
      <c r="G9" s="6"/>
      <c r="H9" s="7">
        <v>750</v>
      </c>
      <c r="I9" s="191" t="s">
        <v>38</v>
      </c>
      <c r="J9" s="192"/>
      <c r="K9" s="8" t="s">
        <v>50</v>
      </c>
      <c r="L9" s="8" t="s">
        <v>57</v>
      </c>
    </row>
    <row r="10" spans="1:12" ht="15.75" x14ac:dyDescent="0.25">
      <c r="A10" s="2"/>
      <c r="B10" s="3"/>
      <c r="C10" s="11"/>
      <c r="D10" s="189" t="s">
        <v>11</v>
      </c>
      <c r="E10" s="190"/>
      <c r="G10" s="6"/>
      <c r="H10" s="7">
        <v>750</v>
      </c>
      <c r="I10" s="191" t="s">
        <v>40</v>
      </c>
      <c r="J10" s="192"/>
      <c r="K10" s="8" t="s">
        <v>41</v>
      </c>
      <c r="L10" s="8" t="s">
        <v>10</v>
      </c>
    </row>
    <row r="11" spans="1:12" ht="15.75" x14ac:dyDescent="0.25">
      <c r="A11" s="2" t="s">
        <v>59</v>
      </c>
      <c r="B11" s="3">
        <f>(B7-B9)/3</f>
        <v>1863.4366666666667</v>
      </c>
      <c r="C11" s="11"/>
      <c r="D11" s="2" t="s">
        <v>1</v>
      </c>
      <c r="E11" s="2" t="s">
        <v>6</v>
      </c>
      <c r="G11" s="6"/>
      <c r="H11" s="7">
        <v>200</v>
      </c>
      <c r="I11" s="191" t="s">
        <v>42</v>
      </c>
      <c r="J11" s="192"/>
      <c r="K11" s="8" t="s">
        <v>43</v>
      </c>
      <c r="L11" s="8" t="s">
        <v>10</v>
      </c>
    </row>
    <row r="12" spans="1:12" ht="15.75" x14ac:dyDescent="0.25">
      <c r="A12" s="2"/>
      <c r="B12" s="3"/>
      <c r="C12" s="11"/>
      <c r="D12" s="5">
        <v>42444</v>
      </c>
      <c r="E12" s="4">
        <v>200</v>
      </c>
      <c r="G12" s="6">
        <v>42461</v>
      </c>
      <c r="H12" s="7">
        <v>450</v>
      </c>
      <c r="I12" s="191" t="s">
        <v>44</v>
      </c>
      <c r="J12" s="192"/>
      <c r="K12" s="8" t="s">
        <v>45</v>
      </c>
      <c r="L12" s="8" t="s">
        <v>10</v>
      </c>
    </row>
    <row r="13" spans="1:12" ht="15.75" x14ac:dyDescent="0.25">
      <c r="A13" s="2"/>
      <c r="B13" s="3"/>
      <c r="C13" s="11"/>
      <c r="D13" s="5">
        <v>42460</v>
      </c>
      <c r="E13" s="21">
        <v>140</v>
      </c>
      <c r="G13" s="6">
        <v>42452</v>
      </c>
      <c r="H13" s="7">
        <v>600</v>
      </c>
      <c r="I13" s="191" t="s">
        <v>46</v>
      </c>
      <c r="J13" s="192"/>
      <c r="K13" s="8" t="s">
        <v>47</v>
      </c>
      <c r="L13" s="8" t="s">
        <v>12</v>
      </c>
    </row>
    <row r="14" spans="1:12" ht="15.75" x14ac:dyDescent="0.25">
      <c r="A14" s="2"/>
      <c r="B14" s="3"/>
      <c r="C14" s="11"/>
      <c r="D14" s="5">
        <v>42471</v>
      </c>
      <c r="E14" s="21">
        <v>900</v>
      </c>
      <c r="G14" s="6"/>
      <c r="H14" s="7">
        <v>300</v>
      </c>
      <c r="I14" s="191" t="s">
        <v>51</v>
      </c>
      <c r="J14" s="192"/>
      <c r="K14" s="8" t="s">
        <v>52</v>
      </c>
      <c r="L14" s="8" t="s">
        <v>57</v>
      </c>
    </row>
    <row r="15" spans="1:12" ht="15.75" x14ac:dyDescent="0.25">
      <c r="A15" s="2"/>
      <c r="B15" s="3"/>
      <c r="C15" s="11"/>
      <c r="D15" s="22"/>
      <c r="E15" s="4"/>
      <c r="G15" s="6">
        <v>42468</v>
      </c>
      <c r="H15" s="7">
        <v>350</v>
      </c>
      <c r="I15" s="191" t="s">
        <v>53</v>
      </c>
      <c r="J15" s="192"/>
      <c r="K15" s="8" t="s">
        <v>54</v>
      </c>
      <c r="L15" s="8" t="s">
        <v>12</v>
      </c>
    </row>
    <row r="16" spans="1:12" ht="15.75" x14ac:dyDescent="0.25">
      <c r="A16" s="2"/>
      <c r="B16" s="2"/>
      <c r="C16" s="1"/>
      <c r="D16" s="22"/>
      <c r="E16" s="21"/>
      <c r="G16" s="6"/>
      <c r="H16" s="7"/>
      <c r="I16" s="191"/>
      <c r="J16" s="192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SUM(E12:E16)</f>
        <v>1240</v>
      </c>
      <c r="G17" s="6"/>
      <c r="H17" s="7"/>
      <c r="I17" s="191"/>
      <c r="J17" s="192"/>
      <c r="K17" s="8"/>
      <c r="L17" s="8"/>
    </row>
    <row r="18" spans="1:12" ht="15.75" x14ac:dyDescent="0.25">
      <c r="A18" s="2" t="s">
        <v>10</v>
      </c>
      <c r="B18" s="3">
        <f>B11-E9</f>
        <v>1803.4366666666667</v>
      </c>
      <c r="C18" s="1"/>
      <c r="D18" s="189" t="s">
        <v>12</v>
      </c>
      <c r="E18" s="190"/>
      <c r="G18" s="6" t="s">
        <v>23</v>
      </c>
      <c r="H18" s="193">
        <f>SUM(H3:H17)</f>
        <v>8385</v>
      </c>
      <c r="I18" s="194"/>
      <c r="J18" s="194"/>
      <c r="K18" s="194"/>
      <c r="L18" s="195"/>
    </row>
    <row r="19" spans="1:12" ht="15.75" x14ac:dyDescent="0.25">
      <c r="A19" s="2" t="s">
        <v>57</v>
      </c>
      <c r="B19" s="3">
        <f>B11-E17</f>
        <v>623.43666666666672</v>
      </c>
      <c r="C19" s="1"/>
      <c r="D19" s="2" t="s">
        <v>1</v>
      </c>
      <c r="E19" s="2" t="s">
        <v>6</v>
      </c>
      <c r="G19" s="1"/>
      <c r="H19" s="1"/>
      <c r="I19" s="1"/>
      <c r="J19" s="1"/>
      <c r="K19" s="197" t="s">
        <v>71</v>
      </c>
      <c r="L19" s="197"/>
    </row>
    <row r="20" spans="1:12" ht="18.75" x14ac:dyDescent="0.3">
      <c r="A20" s="2" t="s">
        <v>12</v>
      </c>
      <c r="B20" s="3">
        <f>B11-E25</f>
        <v>1743.4366666666667</v>
      </c>
      <c r="C20" s="1"/>
      <c r="D20" s="5">
        <v>42460</v>
      </c>
      <c r="E20" s="21">
        <v>120</v>
      </c>
      <c r="G20" s="184" t="s">
        <v>25</v>
      </c>
      <c r="H20" s="184"/>
      <c r="I20" s="184"/>
      <c r="J20" s="184"/>
    </row>
    <row r="21" spans="1:12" ht="15.75" x14ac:dyDescent="0.25">
      <c r="A21" s="2"/>
      <c r="B21" s="2"/>
      <c r="C21" s="1"/>
      <c r="D21" s="22"/>
      <c r="E21" s="21"/>
      <c r="G21" s="2" t="s">
        <v>1</v>
      </c>
      <c r="H21" s="2" t="s">
        <v>6</v>
      </c>
      <c r="I21" s="182" t="s">
        <v>13</v>
      </c>
      <c r="J21" s="183"/>
      <c r="K21" s="179" t="s">
        <v>69</v>
      </c>
      <c r="L21" s="180"/>
    </row>
    <row r="22" spans="1:12" ht="15.75" x14ac:dyDescent="0.25">
      <c r="A22" s="2"/>
      <c r="B22" s="2"/>
      <c r="C22" s="1"/>
      <c r="D22" s="22"/>
      <c r="E22" s="21"/>
      <c r="G22" s="6">
        <v>42460</v>
      </c>
      <c r="H22" s="4">
        <v>129.9</v>
      </c>
      <c r="I22" s="182" t="s">
        <v>39</v>
      </c>
      <c r="J22" s="183"/>
      <c r="K22" s="179" t="s">
        <v>63</v>
      </c>
      <c r="L22" s="180"/>
    </row>
    <row r="23" spans="1:12" ht="15.75" x14ac:dyDescent="0.25">
      <c r="A23" s="1"/>
      <c r="B23" s="1"/>
      <c r="C23" s="1"/>
      <c r="D23" s="22"/>
      <c r="E23" s="21"/>
      <c r="F23" s="1"/>
      <c r="G23" s="6">
        <v>42464</v>
      </c>
      <c r="H23" s="3">
        <v>775.45</v>
      </c>
      <c r="I23" s="182" t="s">
        <v>48</v>
      </c>
      <c r="J23" s="183"/>
      <c r="K23" s="18"/>
      <c r="L23" s="18"/>
    </row>
    <row r="24" spans="1:12" ht="15.75" x14ac:dyDescent="0.25">
      <c r="A24" s="196" t="s">
        <v>71</v>
      </c>
      <c r="B24" s="196"/>
      <c r="C24" s="1"/>
      <c r="D24" s="22"/>
      <c r="E24" s="21"/>
      <c r="F24" s="1"/>
      <c r="G24" s="6">
        <v>42466</v>
      </c>
      <c r="H24" s="4">
        <v>138.41</v>
      </c>
      <c r="I24" s="182" t="s">
        <v>49</v>
      </c>
      <c r="J24" s="183"/>
      <c r="K24" s="18"/>
      <c r="L24" s="18"/>
    </row>
    <row r="25" spans="1:12" ht="15.75" x14ac:dyDescent="0.25">
      <c r="A25" s="1"/>
      <c r="B25" s="1"/>
      <c r="C25" s="1"/>
      <c r="D25" s="12" t="s">
        <v>23</v>
      </c>
      <c r="E25" s="24">
        <f>SUM(E20:E24)</f>
        <v>120</v>
      </c>
      <c r="F25" s="1"/>
      <c r="G25" s="6">
        <v>42471</v>
      </c>
      <c r="H25" s="4">
        <v>67.599999999999994</v>
      </c>
      <c r="I25" s="182" t="s">
        <v>68</v>
      </c>
      <c r="J25" s="183"/>
      <c r="K25" s="179" t="s">
        <v>64</v>
      </c>
      <c r="L25" s="180"/>
    </row>
    <row r="26" spans="1:12" ht="15.75" x14ac:dyDescent="0.25">
      <c r="A26" s="1"/>
      <c r="B26" s="1"/>
      <c r="C26" s="1"/>
      <c r="D26" s="17"/>
      <c r="E26" s="17"/>
      <c r="F26" s="1"/>
      <c r="G26" s="6">
        <v>42471</v>
      </c>
      <c r="H26" s="3">
        <v>23.33</v>
      </c>
      <c r="I26" s="182" t="s">
        <v>60</v>
      </c>
      <c r="J26" s="183"/>
      <c r="K26" s="179" t="s">
        <v>65</v>
      </c>
      <c r="L26" s="180"/>
    </row>
    <row r="27" spans="1:12" ht="18.75" x14ac:dyDescent="0.3">
      <c r="A27" s="178" t="s">
        <v>62</v>
      </c>
      <c r="B27" s="178"/>
      <c r="C27" s="17"/>
      <c r="D27" s="178" t="s">
        <v>64</v>
      </c>
      <c r="E27" s="178"/>
      <c r="F27" s="9"/>
      <c r="G27" s="6">
        <v>42471</v>
      </c>
      <c r="H27" s="4">
        <v>660</v>
      </c>
      <c r="I27" s="182" t="s">
        <v>61</v>
      </c>
      <c r="J27" s="183"/>
      <c r="K27" s="18"/>
      <c r="L27" s="18"/>
    </row>
    <row r="28" spans="1:12" ht="15.75" x14ac:dyDescent="0.25">
      <c r="A28" s="178" t="s">
        <v>63</v>
      </c>
      <c r="B28" s="178"/>
      <c r="C28" s="17"/>
      <c r="D28" s="181" t="s">
        <v>65</v>
      </c>
      <c r="E28" s="181"/>
      <c r="F28" s="1"/>
      <c r="G28" s="6">
        <v>42471</v>
      </c>
      <c r="H28" s="4">
        <v>1000</v>
      </c>
      <c r="I28" s="182" t="s">
        <v>58</v>
      </c>
      <c r="J28" s="183"/>
      <c r="K28" s="18"/>
      <c r="L28" s="18"/>
    </row>
    <row r="29" spans="1:12" ht="15.75" x14ac:dyDescent="0.25">
      <c r="A29" s="17"/>
      <c r="B29" s="17"/>
      <c r="C29" s="17"/>
      <c r="D29" s="19"/>
      <c r="E29" s="19"/>
      <c r="F29" s="1"/>
      <c r="G29" s="6"/>
      <c r="H29" s="4"/>
      <c r="I29" s="182"/>
      <c r="J29" s="183"/>
      <c r="K29" s="179" t="s">
        <v>66</v>
      </c>
      <c r="L29" s="180"/>
    </row>
    <row r="30" spans="1:12" ht="15.75" x14ac:dyDescent="0.25">
      <c r="A30" s="17"/>
      <c r="B30" s="17"/>
      <c r="C30" s="17"/>
      <c r="D30" s="19"/>
      <c r="E30" s="20"/>
      <c r="F30" s="1"/>
      <c r="G30" s="6"/>
      <c r="H30" s="4"/>
      <c r="I30" s="182"/>
      <c r="J30" s="183"/>
      <c r="K30" s="179" t="s">
        <v>67</v>
      </c>
      <c r="L30" s="180"/>
    </row>
    <row r="31" spans="1:12" ht="15.75" x14ac:dyDescent="0.25">
      <c r="A31" s="17"/>
      <c r="B31" s="178" t="s">
        <v>66</v>
      </c>
      <c r="C31" s="178"/>
      <c r="D31" s="178"/>
      <c r="E31" s="20"/>
      <c r="F31" s="1"/>
      <c r="G31" s="1"/>
      <c r="H31" s="1"/>
      <c r="I31" s="1"/>
    </row>
    <row r="32" spans="1:12" ht="15.75" x14ac:dyDescent="0.25">
      <c r="A32" s="17"/>
      <c r="B32" s="178" t="s">
        <v>67</v>
      </c>
      <c r="C32" s="178"/>
      <c r="D32" s="178"/>
      <c r="E32" s="20"/>
      <c r="F32" s="1"/>
      <c r="G32" s="1"/>
      <c r="H32" s="1"/>
      <c r="I32" s="1"/>
    </row>
    <row r="33" spans="4:10" ht="15.75" x14ac:dyDescent="0.25">
      <c r="D33" s="11"/>
      <c r="E33" s="14"/>
      <c r="F33" s="1"/>
      <c r="G33" s="1"/>
      <c r="H33" s="1"/>
      <c r="I33" s="1"/>
    </row>
    <row r="34" spans="4:10" ht="15.75" x14ac:dyDescent="0.25">
      <c r="F34" s="1"/>
      <c r="G34" s="14"/>
      <c r="H34" s="15"/>
      <c r="I34" s="1"/>
      <c r="J34" s="16"/>
    </row>
    <row r="35" spans="4:10" ht="15.75" x14ac:dyDescent="0.25">
      <c r="F35" s="1"/>
      <c r="G35" s="14"/>
      <c r="H35" s="15"/>
      <c r="I35" s="1"/>
      <c r="J35" s="1"/>
    </row>
    <row r="36" spans="4:10" ht="15.75" x14ac:dyDescent="0.25">
      <c r="F36" s="1"/>
      <c r="G36" s="14"/>
      <c r="H36" s="15"/>
      <c r="I36" s="1"/>
      <c r="J36" s="1"/>
    </row>
    <row r="37" spans="4:10" ht="15.75" x14ac:dyDescent="0.25">
      <c r="F37" s="1"/>
      <c r="G37" s="14"/>
      <c r="H37" s="15"/>
      <c r="I37" s="1"/>
      <c r="J37" s="1"/>
    </row>
    <row r="38" spans="4:10" ht="15.75" x14ac:dyDescent="0.25">
      <c r="F38" s="1"/>
      <c r="G38" s="1"/>
      <c r="H38" s="1"/>
      <c r="I38" s="1"/>
    </row>
    <row r="39" spans="4:10" ht="15.75" x14ac:dyDescent="0.25">
      <c r="F39" s="1"/>
      <c r="G39" s="1"/>
      <c r="H39" s="1"/>
      <c r="I39" s="1"/>
    </row>
    <row r="40" spans="4:10" ht="15.75" x14ac:dyDescent="0.25">
      <c r="F40" s="1"/>
      <c r="G40" s="1"/>
      <c r="H40" s="1"/>
      <c r="I40" s="1"/>
    </row>
    <row r="41" spans="4:10" ht="15.75" x14ac:dyDescent="0.25">
      <c r="F41" s="1"/>
      <c r="G41" s="1"/>
      <c r="H41" s="1"/>
      <c r="I41" s="1"/>
    </row>
    <row r="42" spans="4:10" ht="15.75" x14ac:dyDescent="0.25">
      <c r="F42" s="1"/>
      <c r="G42" s="1"/>
      <c r="H42" s="1"/>
      <c r="I42" s="1"/>
    </row>
    <row r="43" spans="4:10" ht="15.75" x14ac:dyDescent="0.25">
      <c r="F43" s="1"/>
      <c r="G43" s="1"/>
      <c r="H43" s="1"/>
      <c r="I43" s="1"/>
    </row>
    <row r="44" spans="4:10" ht="15.75" x14ac:dyDescent="0.25">
      <c r="F44" s="1"/>
    </row>
    <row r="45" spans="4:10" ht="15.75" x14ac:dyDescent="0.25">
      <c r="F45" s="1"/>
    </row>
    <row r="46" spans="4:10" ht="15.75" x14ac:dyDescent="0.25">
      <c r="F46" s="1"/>
    </row>
    <row r="47" spans="4:10" ht="15.75" x14ac:dyDescent="0.25">
      <c r="F47" s="1"/>
    </row>
    <row r="48" spans="4:10" ht="15.75" x14ac:dyDescent="0.25">
      <c r="F48" s="1"/>
    </row>
  </sheetData>
  <mergeCells count="50">
    <mergeCell ref="A24:B24"/>
    <mergeCell ref="K19:L19"/>
    <mergeCell ref="A1:B1"/>
    <mergeCell ref="A2:B2"/>
    <mergeCell ref="A17:B17"/>
    <mergeCell ref="I6:J6"/>
    <mergeCell ref="I7:J7"/>
    <mergeCell ref="I8:J8"/>
    <mergeCell ref="I9:J9"/>
    <mergeCell ref="I15:J15"/>
    <mergeCell ref="I16:J16"/>
    <mergeCell ref="I17:J17"/>
    <mergeCell ref="I10:J10"/>
    <mergeCell ref="I11:J11"/>
    <mergeCell ref="I12:J12"/>
    <mergeCell ref="D1:E1"/>
    <mergeCell ref="D2:E2"/>
    <mergeCell ref="D10:E10"/>
    <mergeCell ref="I27:J27"/>
    <mergeCell ref="I28:J28"/>
    <mergeCell ref="I13:J13"/>
    <mergeCell ref="I14:J14"/>
    <mergeCell ref="I22:J22"/>
    <mergeCell ref="I23:J23"/>
    <mergeCell ref="I21:J21"/>
    <mergeCell ref="H18:L18"/>
    <mergeCell ref="G20:J20"/>
    <mergeCell ref="D18:E18"/>
    <mergeCell ref="I24:J24"/>
    <mergeCell ref="G1:L1"/>
    <mergeCell ref="I2:J2"/>
    <mergeCell ref="I3:J3"/>
    <mergeCell ref="I4:J4"/>
    <mergeCell ref="I5:J5"/>
    <mergeCell ref="B31:D31"/>
    <mergeCell ref="B32:D32"/>
    <mergeCell ref="K21:L21"/>
    <mergeCell ref="K22:L22"/>
    <mergeCell ref="K25:L25"/>
    <mergeCell ref="K26:L26"/>
    <mergeCell ref="K29:L29"/>
    <mergeCell ref="K30:L30"/>
    <mergeCell ref="A27:B27"/>
    <mergeCell ref="A28:B28"/>
    <mergeCell ref="D27:E27"/>
    <mergeCell ref="D28:E28"/>
    <mergeCell ref="I29:J29"/>
    <mergeCell ref="I30:J30"/>
    <mergeCell ref="I25:J25"/>
    <mergeCell ref="I26:J26"/>
  </mergeCells>
  <pageMargins left="0.51181102362204722" right="0.51181102362204722" top="0.67708333333333337" bottom="0.39370078740157483" header="0.31496062992125984" footer="0.31496062992125984"/>
  <pageSetup paperSize="9" orientation="landscape" verticalDpi="0" r:id="rId1"/>
  <headerFooter>
    <oddHeader>&amp;C&amp;"Verdana,Negrito"&amp;16&amp;UFECHAMENTO DE CAIXA - DIAS &amp; TORQUATO ADVOGADOS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R35"/>
  <sheetViews>
    <sheetView topLeftCell="E4" zoomScaleNormal="100" workbookViewId="0">
      <selection activeCell="K5" sqref="K5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.140625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  <col min="17" max="17" width="12.7109375" customWidth="1"/>
    <col min="18" max="18" width="17.28515625" customWidth="1"/>
  </cols>
  <sheetData>
    <row r="1" spans="1:18" ht="18.75" x14ac:dyDescent="0.3">
      <c r="A1" s="184" t="s">
        <v>26</v>
      </c>
      <c r="B1" s="184"/>
      <c r="C1" s="10"/>
      <c r="D1" s="199" t="s">
        <v>55</v>
      </c>
      <c r="E1" s="200"/>
      <c r="G1" s="184" t="s">
        <v>27</v>
      </c>
      <c r="H1" s="184"/>
      <c r="I1" s="184"/>
      <c r="J1" s="184"/>
      <c r="K1" s="184"/>
      <c r="L1" s="184"/>
      <c r="Q1" s="202" t="s">
        <v>79</v>
      </c>
      <c r="R1" s="203"/>
    </row>
    <row r="2" spans="1:18" ht="18.75" x14ac:dyDescent="0.3">
      <c r="A2" s="184" t="s">
        <v>112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Q2" s="28">
        <v>42474</v>
      </c>
      <c r="R2" s="27">
        <v>559</v>
      </c>
    </row>
    <row r="3" spans="1:18" ht="15.75" x14ac:dyDescent="0.25">
      <c r="A3" s="2" t="s">
        <v>2</v>
      </c>
      <c r="B3" s="3">
        <f>H18</f>
        <v>13273.33</v>
      </c>
      <c r="C3" s="11"/>
      <c r="D3" s="2" t="s">
        <v>1</v>
      </c>
      <c r="E3" s="2" t="s">
        <v>6</v>
      </c>
      <c r="G3" s="6">
        <v>42473</v>
      </c>
      <c r="H3" s="7">
        <v>565</v>
      </c>
      <c r="I3" s="187" t="s">
        <v>72</v>
      </c>
      <c r="J3" s="188"/>
      <c r="K3" s="8" t="s">
        <v>73</v>
      </c>
      <c r="L3" s="8" t="s">
        <v>57</v>
      </c>
      <c r="Q3" s="28">
        <v>42474</v>
      </c>
      <c r="R3" s="27">
        <v>150</v>
      </c>
    </row>
    <row r="4" spans="1:18" ht="15.75" x14ac:dyDescent="0.25">
      <c r="A4" s="2" t="s">
        <v>3</v>
      </c>
      <c r="B4" s="3"/>
      <c r="C4" s="11"/>
      <c r="D4" s="5">
        <v>42483</v>
      </c>
      <c r="E4" s="21">
        <v>50</v>
      </c>
      <c r="F4" t="s">
        <v>110</v>
      </c>
      <c r="G4" s="6">
        <v>42473</v>
      </c>
      <c r="H4" s="7">
        <v>500</v>
      </c>
      <c r="I4" s="187" t="s">
        <v>74</v>
      </c>
      <c r="J4" s="188"/>
      <c r="K4" s="8" t="s">
        <v>2225</v>
      </c>
      <c r="L4" s="8" t="s">
        <v>57</v>
      </c>
      <c r="Q4" s="28">
        <v>42474</v>
      </c>
      <c r="R4" s="27">
        <v>1000</v>
      </c>
    </row>
    <row r="5" spans="1:18" ht="15.75" x14ac:dyDescent="0.25">
      <c r="A5" s="2" t="s">
        <v>4</v>
      </c>
      <c r="B5" s="3">
        <f>SUM(H22:H30)</f>
        <v>1165.67</v>
      </c>
      <c r="C5" s="11"/>
      <c r="D5" s="5">
        <v>42489</v>
      </c>
      <c r="E5" s="21">
        <v>150</v>
      </c>
      <c r="F5" t="s">
        <v>109</v>
      </c>
      <c r="G5" s="6">
        <v>42473</v>
      </c>
      <c r="H5" s="7">
        <v>150</v>
      </c>
      <c r="I5" s="187" t="s">
        <v>80</v>
      </c>
      <c r="J5" s="188"/>
      <c r="K5" s="8" t="s">
        <v>2278</v>
      </c>
      <c r="L5" s="8" t="s">
        <v>57</v>
      </c>
      <c r="Q5" s="28">
        <v>42479</v>
      </c>
      <c r="R5" s="27">
        <v>-500</v>
      </c>
    </row>
    <row r="6" spans="1:18" ht="15.75" x14ac:dyDescent="0.25">
      <c r="A6" s="2"/>
      <c r="B6" s="3"/>
      <c r="C6" s="11"/>
      <c r="D6" s="5">
        <v>42489</v>
      </c>
      <c r="E6" s="21">
        <v>56.91</v>
      </c>
      <c r="F6" t="s">
        <v>108</v>
      </c>
      <c r="G6" s="6">
        <v>42474</v>
      </c>
      <c r="H6" s="7">
        <v>300</v>
      </c>
      <c r="I6" s="187" t="s">
        <v>75</v>
      </c>
      <c r="J6" s="188"/>
      <c r="K6" s="8" t="s">
        <v>76</v>
      </c>
      <c r="L6" s="8" t="s">
        <v>12</v>
      </c>
      <c r="Q6" s="28">
        <v>42483</v>
      </c>
      <c r="R6" s="27">
        <v>1100</v>
      </c>
    </row>
    <row r="7" spans="1:18" ht="15.75" x14ac:dyDescent="0.25">
      <c r="A7" s="12" t="s">
        <v>5</v>
      </c>
      <c r="B7" s="25">
        <f>B3+B4-B5</f>
        <v>12107.66</v>
      </c>
      <c r="C7" s="11"/>
      <c r="D7" s="22">
        <v>42489</v>
      </c>
      <c r="E7" s="21">
        <v>87</v>
      </c>
      <c r="F7" t="s">
        <v>108</v>
      </c>
      <c r="G7" s="6">
        <v>42474</v>
      </c>
      <c r="H7" s="7">
        <v>1000</v>
      </c>
      <c r="I7" s="187" t="s">
        <v>81</v>
      </c>
      <c r="J7" s="188"/>
      <c r="K7" s="8" t="s">
        <v>82</v>
      </c>
      <c r="L7" s="8" t="s">
        <v>57</v>
      </c>
      <c r="Q7" s="28">
        <v>42485</v>
      </c>
      <c r="R7" s="27">
        <v>-15</v>
      </c>
    </row>
    <row r="8" spans="1:18" ht="15.75" x14ac:dyDescent="0.25">
      <c r="A8" s="2"/>
      <c r="B8" s="3"/>
      <c r="C8" s="11"/>
      <c r="D8" s="22">
        <v>42492</v>
      </c>
      <c r="E8" s="21">
        <v>32</v>
      </c>
      <c r="F8" t="s">
        <v>105</v>
      </c>
      <c r="G8" s="6">
        <v>42474</v>
      </c>
      <c r="H8" s="7">
        <v>500</v>
      </c>
      <c r="I8" s="191" t="s">
        <v>83</v>
      </c>
      <c r="J8" s="192"/>
      <c r="K8" s="8" t="s">
        <v>84</v>
      </c>
      <c r="L8" s="8" t="s">
        <v>12</v>
      </c>
      <c r="Q8" s="28">
        <v>42489</v>
      </c>
      <c r="R8" s="27">
        <v>200</v>
      </c>
    </row>
    <row r="9" spans="1:18" ht="15.75" x14ac:dyDescent="0.25">
      <c r="A9" s="2" t="s">
        <v>14</v>
      </c>
      <c r="B9" s="3"/>
      <c r="C9" s="11"/>
      <c r="D9" s="22">
        <v>42493</v>
      </c>
      <c r="E9" s="21">
        <v>400</v>
      </c>
      <c r="F9" t="s">
        <v>109</v>
      </c>
      <c r="G9" s="6">
        <v>42478</v>
      </c>
      <c r="H9" s="7">
        <v>3000</v>
      </c>
      <c r="I9" s="191" t="s">
        <v>86</v>
      </c>
      <c r="J9" s="192"/>
      <c r="K9" s="8" t="s">
        <v>84</v>
      </c>
      <c r="L9" s="8" t="s">
        <v>12</v>
      </c>
      <c r="Q9" s="28">
        <v>42489</v>
      </c>
      <c r="R9" s="27">
        <v>-380</v>
      </c>
    </row>
    <row r="10" spans="1:18" ht="15.75" x14ac:dyDescent="0.25">
      <c r="A10" s="2"/>
      <c r="B10" s="3"/>
      <c r="C10" s="11"/>
      <c r="D10" s="22">
        <v>42496</v>
      </c>
      <c r="E10" s="21">
        <v>61.81</v>
      </c>
      <c r="F10" t="s">
        <v>107</v>
      </c>
      <c r="G10" s="6">
        <v>42479</v>
      </c>
      <c r="H10" s="7">
        <v>600</v>
      </c>
      <c r="I10" s="191" t="s">
        <v>87</v>
      </c>
      <c r="J10" s="192"/>
      <c r="K10" s="8" t="s">
        <v>88</v>
      </c>
      <c r="L10" s="8" t="s">
        <v>12</v>
      </c>
      <c r="Q10" s="28">
        <v>42493</v>
      </c>
      <c r="R10" s="27">
        <v>-400</v>
      </c>
    </row>
    <row r="11" spans="1:18" ht="15.75" x14ac:dyDescent="0.25">
      <c r="A11" s="2" t="s">
        <v>59</v>
      </c>
      <c r="B11" s="3">
        <f>(B7-B9)/3</f>
        <v>4035.8866666666668</v>
      </c>
      <c r="C11" s="11"/>
      <c r="D11" s="22">
        <v>42496</v>
      </c>
      <c r="E11" s="21">
        <v>100</v>
      </c>
      <c r="F11" t="s">
        <v>109</v>
      </c>
      <c r="G11" s="6">
        <v>42480</v>
      </c>
      <c r="H11" s="7">
        <v>300</v>
      </c>
      <c r="I11" s="191" t="s">
        <v>89</v>
      </c>
      <c r="J11" s="192"/>
      <c r="K11" s="8" t="s">
        <v>90</v>
      </c>
      <c r="L11" s="8" t="s">
        <v>12</v>
      </c>
      <c r="Q11" s="28">
        <v>42496</v>
      </c>
      <c r="R11" s="27">
        <v>-200</v>
      </c>
    </row>
    <row r="12" spans="1:18" ht="15.75" x14ac:dyDescent="0.25">
      <c r="A12" s="2"/>
      <c r="B12" s="3"/>
      <c r="C12" s="11"/>
      <c r="D12" s="23" t="s">
        <v>23</v>
      </c>
      <c r="E12" s="24">
        <f>SUM(E4:E11)</f>
        <v>937.72</v>
      </c>
      <c r="G12" s="6">
        <v>42483</v>
      </c>
      <c r="H12" s="7">
        <v>1200</v>
      </c>
      <c r="I12" s="191" t="s">
        <v>92</v>
      </c>
      <c r="J12" s="192"/>
      <c r="K12" s="8" t="s">
        <v>93</v>
      </c>
      <c r="L12" s="8" t="s">
        <v>10</v>
      </c>
      <c r="Q12" s="26" t="s">
        <v>23</v>
      </c>
      <c r="R12" s="27">
        <f>SUM(R2:R11)</f>
        <v>1514</v>
      </c>
    </row>
    <row r="13" spans="1:18" ht="15.75" x14ac:dyDescent="0.25">
      <c r="A13" s="2"/>
      <c r="B13" s="3"/>
      <c r="C13" s="11"/>
      <c r="D13" s="189" t="s">
        <v>11</v>
      </c>
      <c r="E13" s="190"/>
      <c r="G13" s="6">
        <v>42486</v>
      </c>
      <c r="H13" s="7">
        <v>3333.33</v>
      </c>
      <c r="I13" s="191" t="s">
        <v>96</v>
      </c>
      <c r="J13" s="192"/>
      <c r="K13" s="8" t="s">
        <v>97</v>
      </c>
      <c r="L13" s="8" t="s">
        <v>57</v>
      </c>
    </row>
    <row r="14" spans="1:18" ht="15.75" x14ac:dyDescent="0.25">
      <c r="A14" s="2"/>
      <c r="B14" s="2"/>
      <c r="C14" s="11"/>
      <c r="D14" s="2" t="s">
        <v>1</v>
      </c>
      <c r="E14" s="2" t="s">
        <v>6</v>
      </c>
      <c r="G14" s="6">
        <v>42489</v>
      </c>
      <c r="H14" s="7">
        <v>200</v>
      </c>
      <c r="I14" s="191" t="s">
        <v>98</v>
      </c>
      <c r="J14" s="192"/>
      <c r="K14" s="8" t="s">
        <v>99</v>
      </c>
      <c r="L14" s="8" t="s">
        <v>10</v>
      </c>
    </row>
    <row r="15" spans="1:18" ht="15.75" x14ac:dyDescent="0.25">
      <c r="A15" s="198" t="s">
        <v>56</v>
      </c>
      <c r="B15" s="198"/>
      <c r="C15" s="11"/>
      <c r="D15" s="5">
        <v>42479</v>
      </c>
      <c r="E15" s="4">
        <v>250</v>
      </c>
      <c r="F15" t="s">
        <v>109</v>
      </c>
      <c r="G15" s="6">
        <v>42463</v>
      </c>
      <c r="H15" s="7">
        <v>125</v>
      </c>
      <c r="I15" s="191" t="s">
        <v>100</v>
      </c>
      <c r="J15" s="192"/>
      <c r="K15" s="8" t="s">
        <v>101</v>
      </c>
      <c r="L15" s="8" t="s">
        <v>12</v>
      </c>
    </row>
    <row r="16" spans="1:18" ht="15.75" x14ac:dyDescent="0.25">
      <c r="A16" s="2" t="s">
        <v>10</v>
      </c>
      <c r="B16" s="3">
        <f>B11-E12</f>
        <v>3098.166666666667</v>
      </c>
      <c r="C16" s="1"/>
      <c r="D16" s="5">
        <v>42489</v>
      </c>
      <c r="E16" s="21">
        <v>200</v>
      </c>
      <c r="F16" t="s">
        <v>109</v>
      </c>
      <c r="G16" s="6">
        <v>42494</v>
      </c>
      <c r="H16" s="7">
        <v>1500</v>
      </c>
      <c r="I16" s="191" t="s">
        <v>104</v>
      </c>
      <c r="J16" s="192"/>
      <c r="K16" s="8" t="s">
        <v>103</v>
      </c>
      <c r="L16" s="8" t="s">
        <v>10</v>
      </c>
    </row>
    <row r="17" spans="1:12" ht="15.75" x14ac:dyDescent="0.25">
      <c r="A17" s="2" t="s">
        <v>57</v>
      </c>
      <c r="B17" s="3">
        <f>B11-E20</f>
        <v>3263.8866666666668</v>
      </c>
      <c r="C17" s="1"/>
      <c r="D17" s="5">
        <v>42493</v>
      </c>
      <c r="E17" s="21">
        <v>22</v>
      </c>
      <c r="F17" t="s">
        <v>102</v>
      </c>
      <c r="G17" s="6"/>
      <c r="H17" s="7"/>
      <c r="I17" s="191"/>
      <c r="J17" s="192"/>
      <c r="K17" s="8"/>
      <c r="L17" s="8"/>
    </row>
    <row r="18" spans="1:12" ht="15.75" x14ac:dyDescent="0.25">
      <c r="A18" s="2" t="s">
        <v>12</v>
      </c>
      <c r="B18" s="3">
        <f>B11-E28</f>
        <v>4005.8866666666668</v>
      </c>
      <c r="C18" s="1"/>
      <c r="D18" s="22">
        <v>42493</v>
      </c>
      <c r="E18" s="4">
        <v>200</v>
      </c>
      <c r="F18" t="s">
        <v>109</v>
      </c>
      <c r="G18" s="6" t="s">
        <v>23</v>
      </c>
      <c r="H18" s="193">
        <f>SUM(H3:H17)</f>
        <v>13273.33</v>
      </c>
      <c r="I18" s="194"/>
      <c r="J18" s="194"/>
      <c r="K18" s="194"/>
      <c r="L18" s="195"/>
    </row>
    <row r="19" spans="1:12" ht="15.75" x14ac:dyDescent="0.25">
      <c r="A19" s="2"/>
      <c r="B19" s="2"/>
      <c r="C19" s="1"/>
      <c r="D19" s="22">
        <v>42496</v>
      </c>
      <c r="E19" s="21">
        <v>100</v>
      </c>
      <c r="F19" t="s">
        <v>109</v>
      </c>
      <c r="G19" s="1"/>
      <c r="H19" s="1"/>
      <c r="I19" s="1"/>
      <c r="J19" s="1"/>
      <c r="K19" s="196" t="s">
        <v>111</v>
      </c>
      <c r="L19" s="196"/>
    </row>
    <row r="20" spans="1:12" ht="18.75" x14ac:dyDescent="0.3">
      <c r="A20" s="2"/>
      <c r="B20" s="2"/>
      <c r="C20" s="1"/>
      <c r="D20" s="23" t="s">
        <v>23</v>
      </c>
      <c r="E20" s="24">
        <f>SUM(E15:E19)</f>
        <v>772</v>
      </c>
      <c r="G20" s="184" t="s">
        <v>25</v>
      </c>
      <c r="H20" s="184"/>
      <c r="I20" s="184"/>
      <c r="J20" s="184"/>
    </row>
    <row r="21" spans="1:12" ht="15.75" x14ac:dyDescent="0.25">
      <c r="A21" s="201" t="s">
        <v>114</v>
      </c>
      <c r="B21" s="201"/>
      <c r="C21" s="1"/>
      <c r="D21" s="189" t="s">
        <v>12</v>
      </c>
      <c r="E21" s="190"/>
      <c r="G21" s="2" t="s">
        <v>1</v>
      </c>
      <c r="H21" s="2" t="s">
        <v>6</v>
      </c>
      <c r="I21" s="182" t="s">
        <v>13</v>
      </c>
      <c r="J21" s="183"/>
      <c r="K21" s="179" t="s">
        <v>69</v>
      </c>
      <c r="L21" s="180"/>
    </row>
    <row r="22" spans="1:12" ht="15.75" x14ac:dyDescent="0.25">
      <c r="A22" s="178"/>
      <c r="B22" s="178"/>
      <c r="C22" s="1"/>
      <c r="D22" s="2" t="s">
        <v>1</v>
      </c>
      <c r="E22" s="2" t="s">
        <v>6</v>
      </c>
      <c r="G22" s="6">
        <v>42471</v>
      </c>
      <c r="H22" s="4">
        <v>22</v>
      </c>
      <c r="I22" s="182" t="s">
        <v>91</v>
      </c>
      <c r="J22" s="183"/>
      <c r="K22" s="179" t="s">
        <v>63</v>
      </c>
      <c r="L22" s="180"/>
    </row>
    <row r="23" spans="1:12" ht="15.75" x14ac:dyDescent="0.25">
      <c r="A23" s="178" t="s">
        <v>113</v>
      </c>
      <c r="B23" s="178"/>
      <c r="C23" s="1"/>
      <c r="D23" s="5">
        <v>42489</v>
      </c>
      <c r="E23" s="21">
        <v>30</v>
      </c>
      <c r="F23" s="1" t="s">
        <v>109</v>
      </c>
      <c r="G23" s="6">
        <v>42472</v>
      </c>
      <c r="H23" s="4">
        <v>14</v>
      </c>
      <c r="I23" s="182" t="s">
        <v>77</v>
      </c>
      <c r="J23" s="183"/>
      <c r="K23" s="18"/>
      <c r="L23" s="18"/>
    </row>
    <row r="24" spans="1:12" ht="15.75" x14ac:dyDescent="0.25">
      <c r="A24" s="178" t="s">
        <v>63</v>
      </c>
      <c r="B24" s="178"/>
      <c r="C24" s="1"/>
      <c r="D24" s="22"/>
      <c r="E24" s="21"/>
      <c r="F24" s="1"/>
      <c r="G24" s="6">
        <v>42473</v>
      </c>
      <c r="H24" s="3">
        <v>5.5</v>
      </c>
      <c r="I24" s="182" t="s">
        <v>78</v>
      </c>
      <c r="J24" s="183"/>
      <c r="K24" s="18"/>
      <c r="L24" s="18"/>
    </row>
    <row r="25" spans="1:12" ht="15.75" x14ac:dyDescent="0.25">
      <c r="A25" s="178"/>
      <c r="B25" s="178"/>
      <c r="C25" s="1"/>
      <c r="D25" s="22"/>
      <c r="E25" s="21"/>
      <c r="F25" s="1"/>
      <c r="G25" s="6">
        <v>42475</v>
      </c>
      <c r="H25" s="4">
        <v>49.19</v>
      </c>
      <c r="I25" s="182" t="s">
        <v>85</v>
      </c>
      <c r="J25" s="183"/>
      <c r="K25" s="179" t="s">
        <v>64</v>
      </c>
      <c r="L25" s="180"/>
    </row>
    <row r="26" spans="1:12" ht="15.75" x14ac:dyDescent="0.25">
      <c r="A26" s="178" t="s">
        <v>113</v>
      </c>
      <c r="B26" s="178"/>
      <c r="C26" s="1"/>
      <c r="D26" s="22"/>
      <c r="E26" s="21"/>
      <c r="F26" s="1"/>
      <c r="G26" s="6">
        <v>42479</v>
      </c>
      <c r="H26" s="3">
        <v>19.98</v>
      </c>
      <c r="I26" s="182" t="s">
        <v>106</v>
      </c>
      <c r="J26" s="183"/>
      <c r="K26" s="179" t="s">
        <v>65</v>
      </c>
      <c r="L26" s="180"/>
    </row>
    <row r="27" spans="1:12" ht="18.75" x14ac:dyDescent="0.3">
      <c r="A27" s="178" t="s">
        <v>65</v>
      </c>
      <c r="B27" s="178"/>
      <c r="C27" s="17"/>
      <c r="D27" s="22"/>
      <c r="E27" s="21"/>
      <c r="F27" s="9"/>
      <c r="G27" s="6">
        <v>42483</v>
      </c>
      <c r="H27" s="3">
        <v>50</v>
      </c>
      <c r="I27" s="182" t="s">
        <v>94</v>
      </c>
      <c r="J27" s="183"/>
      <c r="K27" s="18"/>
      <c r="L27" s="18"/>
    </row>
    <row r="28" spans="1:12" ht="15.75" x14ac:dyDescent="0.25">
      <c r="A28" s="178"/>
      <c r="B28" s="178"/>
      <c r="C28" s="17"/>
      <c r="D28" s="12" t="s">
        <v>23</v>
      </c>
      <c r="E28" s="24">
        <f>SUM(E23:E27)</f>
        <v>30</v>
      </c>
      <c r="F28" s="1"/>
      <c r="G28" s="6">
        <v>42485</v>
      </c>
      <c r="H28" s="4">
        <v>5</v>
      </c>
      <c r="I28" s="182" t="s">
        <v>95</v>
      </c>
      <c r="J28" s="183"/>
      <c r="K28" s="18"/>
      <c r="L28" s="18"/>
    </row>
    <row r="29" spans="1:12" ht="15.75" x14ac:dyDescent="0.25">
      <c r="A29" s="178" t="s">
        <v>62</v>
      </c>
      <c r="B29" s="178"/>
      <c r="C29" s="17"/>
      <c r="D29" s="17"/>
      <c r="E29" s="17"/>
      <c r="F29" s="1"/>
      <c r="G29" s="6">
        <v>42499</v>
      </c>
      <c r="H29" s="4">
        <v>1000</v>
      </c>
      <c r="I29" s="182" t="s">
        <v>58</v>
      </c>
      <c r="J29" s="183"/>
      <c r="K29" s="179" t="s">
        <v>66</v>
      </c>
      <c r="L29" s="180"/>
    </row>
    <row r="30" spans="1:12" ht="15.75" x14ac:dyDescent="0.25">
      <c r="A30" s="178" t="s">
        <v>67</v>
      </c>
      <c r="B30" s="178"/>
      <c r="C30" s="17"/>
      <c r="D30" s="178"/>
      <c r="E30" s="178"/>
      <c r="F30" s="1"/>
      <c r="G30" s="6"/>
      <c r="H30" s="4"/>
      <c r="I30" s="182"/>
      <c r="J30" s="183"/>
      <c r="K30" s="179" t="s">
        <v>67</v>
      </c>
      <c r="L30" s="180"/>
    </row>
    <row r="31" spans="1:12" ht="15.75" x14ac:dyDescent="0.25">
      <c r="C31" s="29"/>
      <c r="D31" s="181"/>
      <c r="E31" s="181"/>
      <c r="F31" s="1"/>
      <c r="G31" s="1"/>
      <c r="H31" s="1"/>
      <c r="I31" s="1"/>
    </row>
    <row r="32" spans="1:12" ht="15.75" x14ac:dyDescent="0.25">
      <c r="C32" s="29"/>
      <c r="D32" s="19"/>
      <c r="E32" s="19"/>
      <c r="F32" s="1"/>
      <c r="G32" s="1"/>
      <c r="H32" s="1"/>
      <c r="I32" s="1"/>
    </row>
    <row r="33" spans="4:5" ht="15.75" x14ac:dyDescent="0.25">
      <c r="D33" s="19"/>
      <c r="E33" s="20"/>
    </row>
    <row r="34" spans="4:5" ht="15.75" x14ac:dyDescent="0.25">
      <c r="D34" s="29"/>
      <c r="E34" s="20"/>
    </row>
    <row r="35" spans="4:5" ht="15.75" x14ac:dyDescent="0.25">
      <c r="D35" s="29"/>
      <c r="E35" s="20"/>
    </row>
  </sheetData>
  <mergeCells count="56">
    <mergeCell ref="Q1:R1"/>
    <mergeCell ref="I29:J29"/>
    <mergeCell ref="K29:L29"/>
    <mergeCell ref="I30:J30"/>
    <mergeCell ref="K30:L30"/>
    <mergeCell ref="I23:J23"/>
    <mergeCell ref="K19:L19"/>
    <mergeCell ref="G20:J20"/>
    <mergeCell ref="I21:J21"/>
    <mergeCell ref="K21:L21"/>
    <mergeCell ref="I22:J22"/>
    <mergeCell ref="K22:L22"/>
    <mergeCell ref="I14:J14"/>
    <mergeCell ref="I15:J15"/>
    <mergeCell ref="I16:J16"/>
    <mergeCell ref="I3:J3"/>
    <mergeCell ref="D30:E30"/>
    <mergeCell ref="I27:J27"/>
    <mergeCell ref="A26:B26"/>
    <mergeCell ref="D31:E31"/>
    <mergeCell ref="I28:J28"/>
    <mergeCell ref="A29:B29"/>
    <mergeCell ref="A30:B30"/>
    <mergeCell ref="A27:B27"/>
    <mergeCell ref="A28:B28"/>
    <mergeCell ref="A22:B22"/>
    <mergeCell ref="I24:J24"/>
    <mergeCell ref="I25:J25"/>
    <mergeCell ref="K25:L25"/>
    <mergeCell ref="I26:J26"/>
    <mergeCell ref="K26:L26"/>
    <mergeCell ref="A24:B24"/>
    <mergeCell ref="A23:B23"/>
    <mergeCell ref="A25:B25"/>
    <mergeCell ref="A15:B15"/>
    <mergeCell ref="I17:J17"/>
    <mergeCell ref="D21:E21"/>
    <mergeCell ref="H18:L18"/>
    <mergeCell ref="I9:J9"/>
    <mergeCell ref="D13:E13"/>
    <mergeCell ref="I10:J10"/>
    <mergeCell ref="I11:J11"/>
    <mergeCell ref="I12:J12"/>
    <mergeCell ref="I13:J13"/>
    <mergeCell ref="A21:B21"/>
    <mergeCell ref="I4:J4"/>
    <mergeCell ref="I5:J5"/>
    <mergeCell ref="I6:J6"/>
    <mergeCell ref="I7:J7"/>
    <mergeCell ref="I8:J8"/>
    <mergeCell ref="A1:B1"/>
    <mergeCell ref="D1:E1"/>
    <mergeCell ref="G1:L1"/>
    <mergeCell ref="A2:B2"/>
    <mergeCell ref="D2:E2"/>
    <mergeCell ref="I2:J2"/>
  </mergeCells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T32"/>
  <sheetViews>
    <sheetView topLeftCell="E1" workbookViewId="0">
      <selection activeCell="K9" sqref="K9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  <col min="19" max="19" width="14.140625" customWidth="1"/>
    <col min="20" max="20" width="16" customWidth="1"/>
  </cols>
  <sheetData>
    <row r="1" spans="1:20" ht="18.75" x14ac:dyDescent="0.3">
      <c r="A1" s="184" t="s">
        <v>28</v>
      </c>
      <c r="B1" s="184"/>
      <c r="C1" s="10"/>
      <c r="D1" s="199" t="s">
        <v>55</v>
      </c>
      <c r="E1" s="200"/>
      <c r="G1" s="184" t="s">
        <v>29</v>
      </c>
      <c r="H1" s="184"/>
      <c r="I1" s="184"/>
      <c r="J1" s="184"/>
      <c r="K1" s="184"/>
      <c r="L1" s="184"/>
      <c r="S1" s="202" t="s">
        <v>79</v>
      </c>
      <c r="T1" s="203"/>
    </row>
    <row r="2" spans="1:20" ht="18.75" x14ac:dyDescent="0.3">
      <c r="A2" s="184" t="s">
        <v>115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S2" s="6">
        <v>42500</v>
      </c>
      <c r="T2" s="7">
        <v>300</v>
      </c>
    </row>
    <row r="3" spans="1:20" ht="15.75" x14ac:dyDescent="0.25">
      <c r="A3" s="2" t="s">
        <v>2</v>
      </c>
      <c r="B3" s="3">
        <f>H19</f>
        <v>8265</v>
      </c>
      <c r="C3" s="11"/>
      <c r="D3" s="2" t="s">
        <v>1</v>
      </c>
      <c r="E3" s="2" t="s">
        <v>6</v>
      </c>
      <c r="G3" s="6">
        <v>42500</v>
      </c>
      <c r="H3" s="7">
        <v>300</v>
      </c>
      <c r="I3" s="187" t="s">
        <v>139</v>
      </c>
      <c r="J3" s="188"/>
      <c r="K3" s="8" t="s">
        <v>131</v>
      </c>
      <c r="L3" s="8" t="s">
        <v>10</v>
      </c>
      <c r="S3" s="6">
        <v>42500</v>
      </c>
      <c r="T3" s="7">
        <v>350</v>
      </c>
    </row>
    <row r="4" spans="1:20" ht="15.75" x14ac:dyDescent="0.25">
      <c r="A4" s="2" t="s">
        <v>3</v>
      </c>
      <c r="B4" s="3"/>
      <c r="C4" s="11"/>
      <c r="D4" s="5"/>
      <c r="E4" s="21"/>
      <c r="G4" s="6">
        <v>42500</v>
      </c>
      <c r="H4" s="7">
        <v>350</v>
      </c>
      <c r="I4" s="187" t="s">
        <v>121</v>
      </c>
      <c r="J4" s="188"/>
      <c r="K4" s="8" t="s">
        <v>120</v>
      </c>
      <c r="L4" s="8" t="s">
        <v>57</v>
      </c>
      <c r="S4" s="6">
        <v>42501</v>
      </c>
      <c r="T4" s="7">
        <v>300</v>
      </c>
    </row>
    <row r="5" spans="1:20" ht="15.75" x14ac:dyDescent="0.25">
      <c r="A5" s="2" t="s">
        <v>4</v>
      </c>
      <c r="B5" s="3">
        <f>SUM(H23:H29)</f>
        <v>2848.23</v>
      </c>
      <c r="C5" s="11"/>
      <c r="D5" s="5"/>
      <c r="E5" s="21"/>
      <c r="G5" s="6">
        <v>42501</v>
      </c>
      <c r="H5" s="7">
        <v>300</v>
      </c>
      <c r="I5" s="187" t="s">
        <v>116</v>
      </c>
      <c r="J5" s="188"/>
      <c r="K5" s="8" t="s">
        <v>117</v>
      </c>
      <c r="L5" s="8" t="s">
        <v>57</v>
      </c>
      <c r="S5" s="6">
        <v>42501</v>
      </c>
      <c r="T5" s="7">
        <v>1000</v>
      </c>
    </row>
    <row r="6" spans="1:20" ht="15.75" x14ac:dyDescent="0.25">
      <c r="A6" s="2"/>
      <c r="B6" s="3"/>
      <c r="C6" s="11"/>
      <c r="D6" s="22"/>
      <c r="E6" s="21"/>
      <c r="G6" s="6">
        <v>42501</v>
      </c>
      <c r="H6" s="7">
        <v>1000</v>
      </c>
      <c r="I6" s="187" t="s">
        <v>118</v>
      </c>
      <c r="J6" s="188"/>
      <c r="K6" s="8" t="s">
        <v>119</v>
      </c>
      <c r="L6" s="8" t="s">
        <v>57</v>
      </c>
      <c r="S6" s="6">
        <v>42501</v>
      </c>
      <c r="T6" s="21">
        <v>-100</v>
      </c>
    </row>
    <row r="7" spans="1:20" ht="15.75" x14ac:dyDescent="0.25">
      <c r="A7" s="12" t="s">
        <v>5</v>
      </c>
      <c r="B7" s="25">
        <f>B3+B4-B5</f>
        <v>5416.77</v>
      </c>
      <c r="C7" s="11"/>
      <c r="D7" s="22"/>
      <c r="E7" s="21"/>
      <c r="G7" s="6">
        <v>42502</v>
      </c>
      <c r="H7" s="7">
        <v>500</v>
      </c>
      <c r="I7" s="187" t="s">
        <v>124</v>
      </c>
      <c r="J7" s="188"/>
      <c r="K7" s="8" t="s">
        <v>125</v>
      </c>
      <c r="L7" s="8" t="s">
        <v>57</v>
      </c>
      <c r="S7" s="6">
        <v>42502</v>
      </c>
      <c r="T7" s="21">
        <v>500</v>
      </c>
    </row>
    <row r="8" spans="1:20" ht="15.75" x14ac:dyDescent="0.25">
      <c r="A8" s="2"/>
      <c r="B8" s="3"/>
      <c r="C8" s="11"/>
      <c r="D8" s="22"/>
      <c r="E8" s="21"/>
      <c r="G8" s="6">
        <v>42506</v>
      </c>
      <c r="H8" s="7">
        <v>1200</v>
      </c>
      <c r="I8" s="191" t="s">
        <v>141</v>
      </c>
      <c r="J8" s="192"/>
      <c r="K8" s="8" t="s">
        <v>140</v>
      </c>
      <c r="L8" s="8" t="s">
        <v>10</v>
      </c>
      <c r="S8" s="6">
        <v>42508</v>
      </c>
      <c r="T8" s="21">
        <v>860</v>
      </c>
    </row>
    <row r="9" spans="1:20" ht="15.75" x14ac:dyDescent="0.25">
      <c r="A9" s="2" t="s">
        <v>14</v>
      </c>
      <c r="B9" s="3"/>
      <c r="C9" s="11"/>
      <c r="D9" s="23" t="s">
        <v>23</v>
      </c>
      <c r="E9" s="24">
        <f>SUM(E4:E8)</f>
        <v>0</v>
      </c>
      <c r="G9" s="6">
        <v>42506</v>
      </c>
      <c r="H9" s="7">
        <v>150</v>
      </c>
      <c r="I9" s="191" t="s">
        <v>126</v>
      </c>
      <c r="J9" s="192"/>
      <c r="K9" s="8" t="s">
        <v>2278</v>
      </c>
      <c r="L9" s="8" t="s">
        <v>57</v>
      </c>
      <c r="S9" s="6">
        <v>42537</v>
      </c>
      <c r="T9" s="21">
        <v>1350</v>
      </c>
    </row>
    <row r="10" spans="1:20" ht="15.75" x14ac:dyDescent="0.25">
      <c r="A10" s="2"/>
      <c r="B10" s="3"/>
      <c r="C10" s="11"/>
      <c r="D10" s="189" t="s">
        <v>11</v>
      </c>
      <c r="E10" s="190"/>
      <c r="G10" s="6">
        <v>42508</v>
      </c>
      <c r="H10" s="7">
        <v>860</v>
      </c>
      <c r="I10" s="191" t="s">
        <v>127</v>
      </c>
      <c r="J10" s="192"/>
      <c r="K10" s="8" t="s">
        <v>128</v>
      </c>
      <c r="L10" s="8" t="s">
        <v>12</v>
      </c>
      <c r="S10" s="6">
        <v>42541</v>
      </c>
      <c r="T10" s="21">
        <v>-20</v>
      </c>
    </row>
    <row r="11" spans="1:20" ht="15.75" x14ac:dyDescent="0.25">
      <c r="A11" s="2" t="s">
        <v>59</v>
      </c>
      <c r="B11" s="3">
        <f>(B7-B9)/3</f>
        <v>1805.5900000000001</v>
      </c>
      <c r="C11" s="11"/>
      <c r="D11" s="2" t="s">
        <v>1</v>
      </c>
      <c r="E11" s="2" t="s">
        <v>6</v>
      </c>
      <c r="G11" s="6">
        <v>42513</v>
      </c>
      <c r="H11" s="7">
        <v>300</v>
      </c>
      <c r="I11" s="191" t="s">
        <v>132</v>
      </c>
      <c r="J11" s="192"/>
      <c r="K11" s="8" t="s">
        <v>133</v>
      </c>
      <c r="L11" s="8" t="s">
        <v>57</v>
      </c>
      <c r="S11" s="6">
        <v>42547</v>
      </c>
      <c r="T11" s="21">
        <v>200</v>
      </c>
    </row>
    <row r="12" spans="1:20" ht="15.75" x14ac:dyDescent="0.25">
      <c r="A12" s="2"/>
      <c r="B12" s="3"/>
      <c r="C12" s="11"/>
      <c r="D12" s="5">
        <v>42524</v>
      </c>
      <c r="E12" s="4">
        <v>100</v>
      </c>
      <c r="G12" s="6">
        <v>42514</v>
      </c>
      <c r="H12" s="7">
        <v>600</v>
      </c>
      <c r="I12" s="191" t="s">
        <v>46</v>
      </c>
      <c r="J12" s="192"/>
      <c r="K12" s="8" t="s">
        <v>135</v>
      </c>
      <c r="L12" s="8" t="s">
        <v>12</v>
      </c>
      <c r="S12" s="6">
        <v>42522</v>
      </c>
      <c r="T12" s="21">
        <v>-20</v>
      </c>
    </row>
    <row r="13" spans="1:20" ht="15.75" x14ac:dyDescent="0.25">
      <c r="A13" s="2"/>
      <c r="B13" s="3"/>
      <c r="C13" s="11"/>
      <c r="D13" s="5"/>
      <c r="E13" s="21"/>
      <c r="G13" s="6">
        <v>42516</v>
      </c>
      <c r="H13" s="7">
        <v>200</v>
      </c>
      <c r="I13" s="191" t="s">
        <v>139</v>
      </c>
      <c r="J13" s="192"/>
      <c r="K13" s="8" t="s">
        <v>131</v>
      </c>
      <c r="L13" s="8" t="s">
        <v>10</v>
      </c>
      <c r="S13" s="32"/>
      <c r="T13" s="26"/>
    </row>
    <row r="14" spans="1:20" ht="15.75" x14ac:dyDescent="0.25">
      <c r="A14" s="2"/>
      <c r="B14" s="3"/>
      <c r="C14" s="11"/>
      <c r="D14" s="22"/>
      <c r="E14" s="4"/>
      <c r="G14" s="6">
        <v>42503</v>
      </c>
      <c r="H14" s="7">
        <v>500</v>
      </c>
      <c r="I14" s="30" t="s">
        <v>134</v>
      </c>
      <c r="J14" s="31"/>
      <c r="K14" s="8" t="s">
        <v>2225</v>
      </c>
      <c r="L14" s="8" t="s">
        <v>57</v>
      </c>
      <c r="M14" s="33"/>
      <c r="S14" s="32"/>
      <c r="T14" s="26"/>
    </row>
    <row r="15" spans="1:20" ht="15.75" x14ac:dyDescent="0.25">
      <c r="A15" s="2"/>
      <c r="B15" s="2"/>
      <c r="C15" s="1"/>
      <c r="D15" s="22"/>
      <c r="E15" s="21"/>
      <c r="G15" s="6">
        <v>42527</v>
      </c>
      <c r="H15" s="7">
        <v>500</v>
      </c>
      <c r="I15" s="191" t="s">
        <v>136</v>
      </c>
      <c r="J15" s="192"/>
      <c r="K15" s="8" t="s">
        <v>2264</v>
      </c>
      <c r="L15" s="8" t="s">
        <v>57</v>
      </c>
      <c r="S15" s="32"/>
      <c r="T15" s="26"/>
    </row>
    <row r="16" spans="1:20" ht="15.75" x14ac:dyDescent="0.25">
      <c r="A16" s="198" t="s">
        <v>56</v>
      </c>
      <c r="B16" s="198"/>
      <c r="C16" s="1"/>
      <c r="D16" s="23" t="s">
        <v>23</v>
      </c>
      <c r="E16" s="24">
        <f>SUM(E12:E15)</f>
        <v>100</v>
      </c>
      <c r="G16" s="6">
        <v>42528</v>
      </c>
      <c r="H16" s="7">
        <v>880</v>
      </c>
      <c r="I16" s="191" t="s">
        <v>137</v>
      </c>
      <c r="J16" s="192"/>
      <c r="K16" s="8" t="s">
        <v>138</v>
      </c>
      <c r="L16" s="8" t="s">
        <v>57</v>
      </c>
      <c r="S16" s="32"/>
      <c r="T16" s="26"/>
    </row>
    <row r="17" spans="1:20" ht="15.75" x14ac:dyDescent="0.25">
      <c r="A17" s="2" t="s">
        <v>10</v>
      </c>
      <c r="B17" s="3">
        <f>B11-E9</f>
        <v>1805.5900000000001</v>
      </c>
      <c r="C17" s="1"/>
      <c r="D17" s="189" t="s">
        <v>12</v>
      </c>
      <c r="E17" s="190"/>
      <c r="G17" s="6">
        <v>42528</v>
      </c>
      <c r="H17" s="7">
        <v>500</v>
      </c>
      <c r="I17" s="191" t="s">
        <v>139</v>
      </c>
      <c r="J17" s="192"/>
      <c r="K17" s="8" t="s">
        <v>142</v>
      </c>
      <c r="L17" s="8" t="s">
        <v>12</v>
      </c>
      <c r="S17" s="32"/>
      <c r="T17" s="26"/>
    </row>
    <row r="18" spans="1:20" ht="15.75" x14ac:dyDescent="0.25">
      <c r="A18" s="2" t="s">
        <v>57</v>
      </c>
      <c r="B18" s="3">
        <f>B11-E16</f>
        <v>1705.5900000000001</v>
      </c>
      <c r="C18" s="1"/>
      <c r="D18" s="2" t="s">
        <v>1</v>
      </c>
      <c r="E18" s="2" t="s">
        <v>6</v>
      </c>
      <c r="G18" s="6">
        <v>42529</v>
      </c>
      <c r="H18" s="7">
        <v>125</v>
      </c>
      <c r="I18" s="191" t="s">
        <v>143</v>
      </c>
      <c r="J18" s="192"/>
      <c r="K18" s="8" t="s">
        <v>144</v>
      </c>
      <c r="L18" s="8" t="s">
        <v>12</v>
      </c>
      <c r="S18" s="32"/>
      <c r="T18" s="26"/>
    </row>
    <row r="19" spans="1:20" ht="15.75" x14ac:dyDescent="0.25">
      <c r="A19" s="2" t="s">
        <v>12</v>
      </c>
      <c r="B19" s="3">
        <f>B11-E23</f>
        <v>1805.5900000000001</v>
      </c>
      <c r="C19" s="1"/>
      <c r="D19" s="5"/>
      <c r="E19" s="21"/>
      <c r="G19" s="6" t="s">
        <v>23</v>
      </c>
      <c r="H19" s="193">
        <f>SUM(H3:H18)</f>
        <v>8265</v>
      </c>
      <c r="I19" s="194"/>
      <c r="J19" s="194"/>
      <c r="K19" s="194"/>
      <c r="L19" s="195"/>
      <c r="S19" s="32"/>
      <c r="T19" s="26"/>
    </row>
    <row r="20" spans="1:20" ht="15.75" x14ac:dyDescent="0.25">
      <c r="A20" s="2"/>
      <c r="B20" s="2"/>
      <c r="C20" s="1"/>
      <c r="D20" s="22"/>
      <c r="E20" s="21"/>
      <c r="G20" s="1"/>
      <c r="H20" s="1"/>
      <c r="I20" s="1"/>
      <c r="J20" s="1"/>
      <c r="K20" s="196" t="s">
        <v>146</v>
      </c>
      <c r="L20" s="196"/>
      <c r="S20" s="2" t="s">
        <v>23</v>
      </c>
      <c r="T20" s="21">
        <f>SUM(T2:T19)</f>
        <v>4720</v>
      </c>
    </row>
    <row r="21" spans="1:20" ht="18.75" x14ac:dyDescent="0.3">
      <c r="A21" s="1"/>
      <c r="B21" s="1"/>
      <c r="C21" s="1"/>
      <c r="D21" s="22"/>
      <c r="E21" s="21"/>
      <c r="G21" s="184" t="s">
        <v>25</v>
      </c>
      <c r="H21" s="184"/>
      <c r="I21" s="184"/>
      <c r="J21" s="184"/>
    </row>
    <row r="22" spans="1:20" ht="15.75" x14ac:dyDescent="0.25">
      <c r="A22" s="196" t="s">
        <v>146</v>
      </c>
      <c r="B22" s="196"/>
      <c r="C22" s="1"/>
      <c r="D22" s="22"/>
      <c r="E22" s="21"/>
      <c r="G22" s="2" t="s">
        <v>1</v>
      </c>
      <c r="H22" s="2" t="s">
        <v>6</v>
      </c>
      <c r="I22" s="182" t="s">
        <v>13</v>
      </c>
      <c r="J22" s="183"/>
      <c r="K22" s="179" t="s">
        <v>69</v>
      </c>
      <c r="L22" s="180"/>
    </row>
    <row r="23" spans="1:20" ht="15.75" x14ac:dyDescent="0.25">
      <c r="A23" s="1"/>
      <c r="B23" s="1"/>
      <c r="C23" s="1"/>
      <c r="D23" s="12" t="s">
        <v>23</v>
      </c>
      <c r="E23" s="24">
        <f>SUM(E19:E22)</f>
        <v>0</v>
      </c>
      <c r="F23" s="1"/>
      <c r="G23" s="6">
        <v>42503</v>
      </c>
      <c r="H23" s="4">
        <v>138.41</v>
      </c>
      <c r="I23" s="182" t="s">
        <v>122</v>
      </c>
      <c r="J23" s="183"/>
      <c r="K23" s="179" t="s">
        <v>63</v>
      </c>
      <c r="L23" s="180"/>
    </row>
    <row r="24" spans="1:20" ht="15.75" x14ac:dyDescent="0.25">
      <c r="A24" s="1"/>
      <c r="B24" s="1"/>
      <c r="C24" s="1"/>
      <c r="D24" s="17"/>
      <c r="E24" s="17"/>
      <c r="F24" s="1"/>
      <c r="G24" s="6">
        <v>42503</v>
      </c>
      <c r="H24" s="3">
        <v>138.41</v>
      </c>
      <c r="I24" s="182" t="s">
        <v>123</v>
      </c>
      <c r="J24" s="183"/>
      <c r="K24" s="18"/>
      <c r="L24" s="18"/>
    </row>
    <row r="25" spans="1:20" ht="15.75" x14ac:dyDescent="0.25">
      <c r="A25" s="178" t="s">
        <v>62</v>
      </c>
      <c r="B25" s="178"/>
      <c r="C25" s="17"/>
      <c r="D25" s="178" t="s">
        <v>64</v>
      </c>
      <c r="E25" s="178"/>
      <c r="F25" s="1"/>
      <c r="G25" s="6">
        <v>42510</v>
      </c>
      <c r="H25" s="4">
        <v>19.079999999999998</v>
      </c>
      <c r="I25" s="182" t="s">
        <v>129</v>
      </c>
      <c r="J25" s="183"/>
      <c r="K25" s="18"/>
      <c r="L25" s="18"/>
    </row>
    <row r="26" spans="1:20" ht="15.75" x14ac:dyDescent="0.25">
      <c r="A26" s="178" t="s">
        <v>63</v>
      </c>
      <c r="B26" s="178"/>
      <c r="C26" s="17"/>
      <c r="D26" s="181" t="s">
        <v>65</v>
      </c>
      <c r="E26" s="181"/>
      <c r="F26" s="1"/>
      <c r="G26" s="6">
        <v>42522</v>
      </c>
      <c r="H26" s="4">
        <v>21.98</v>
      </c>
      <c r="I26" s="182" t="s">
        <v>130</v>
      </c>
      <c r="J26" s="183"/>
      <c r="K26" s="179" t="s">
        <v>64</v>
      </c>
      <c r="L26" s="180"/>
    </row>
    <row r="27" spans="1:20" ht="18.75" x14ac:dyDescent="0.3">
      <c r="A27" s="17"/>
      <c r="B27" s="17"/>
      <c r="C27" s="17"/>
      <c r="D27" s="19"/>
      <c r="E27" s="19"/>
      <c r="F27" s="9"/>
      <c r="G27" s="6">
        <v>42524</v>
      </c>
      <c r="H27" s="3">
        <v>203.85</v>
      </c>
      <c r="I27" s="182" t="s">
        <v>145</v>
      </c>
      <c r="J27" s="183"/>
      <c r="K27" s="179" t="s">
        <v>65</v>
      </c>
      <c r="L27" s="180"/>
    </row>
    <row r="28" spans="1:20" ht="15.75" x14ac:dyDescent="0.25">
      <c r="A28" s="17"/>
      <c r="B28" s="17"/>
      <c r="C28" s="17"/>
      <c r="D28" s="19"/>
      <c r="E28" s="20"/>
      <c r="F28" s="1"/>
      <c r="G28" s="6">
        <v>42531</v>
      </c>
      <c r="H28" s="4">
        <v>1500</v>
      </c>
      <c r="I28" s="182" t="s">
        <v>58</v>
      </c>
      <c r="J28" s="183"/>
      <c r="K28" s="18"/>
      <c r="L28" s="18"/>
    </row>
    <row r="29" spans="1:20" ht="15.75" x14ac:dyDescent="0.25">
      <c r="A29" s="17"/>
      <c r="B29" s="178" t="s">
        <v>66</v>
      </c>
      <c r="C29" s="178"/>
      <c r="D29" s="178"/>
      <c r="E29" s="20"/>
      <c r="F29" s="1"/>
      <c r="G29" s="6">
        <v>42531</v>
      </c>
      <c r="H29" s="4">
        <f>H19*10%</f>
        <v>826.5</v>
      </c>
      <c r="I29" s="182" t="s">
        <v>14</v>
      </c>
      <c r="J29" s="183"/>
      <c r="K29" s="179" t="s">
        <v>66</v>
      </c>
      <c r="L29" s="180"/>
    </row>
    <row r="30" spans="1:20" ht="15.75" x14ac:dyDescent="0.25">
      <c r="A30" s="17"/>
      <c r="B30" s="178" t="s">
        <v>67</v>
      </c>
      <c r="C30" s="178"/>
      <c r="D30" s="178"/>
      <c r="E30" s="20"/>
      <c r="F30" s="1"/>
      <c r="G30" s="1"/>
      <c r="H30" s="1"/>
      <c r="I30" s="1"/>
      <c r="J30" s="34"/>
      <c r="K30" s="180" t="s">
        <v>67</v>
      </c>
      <c r="L30" s="180"/>
    </row>
    <row r="31" spans="1:20" ht="15.75" x14ac:dyDescent="0.25">
      <c r="F31" s="1"/>
      <c r="G31" s="1"/>
      <c r="H31" s="1"/>
      <c r="I31" s="1"/>
    </row>
    <row r="32" spans="1:20" ht="15.75" x14ac:dyDescent="0.25">
      <c r="F32" s="1"/>
    </row>
  </sheetData>
  <mergeCells count="49">
    <mergeCell ref="S1:T1"/>
    <mergeCell ref="K29:L29"/>
    <mergeCell ref="K30:L30"/>
    <mergeCell ref="B29:D29"/>
    <mergeCell ref="A16:B16"/>
    <mergeCell ref="I27:J27"/>
    <mergeCell ref="K27:L27"/>
    <mergeCell ref="K20:L20"/>
    <mergeCell ref="G21:J21"/>
    <mergeCell ref="I22:J22"/>
    <mergeCell ref="K22:L22"/>
    <mergeCell ref="I23:J23"/>
    <mergeCell ref="K23:L23"/>
    <mergeCell ref="I24:J24"/>
    <mergeCell ref="I26:J26"/>
    <mergeCell ref="K26:L26"/>
    <mergeCell ref="B30:D30"/>
    <mergeCell ref="A25:B25"/>
    <mergeCell ref="D25:E25"/>
    <mergeCell ref="I28:J28"/>
    <mergeCell ref="A26:B26"/>
    <mergeCell ref="D26:E26"/>
    <mergeCell ref="I29:J29"/>
    <mergeCell ref="I25:J25"/>
    <mergeCell ref="D10:E10"/>
    <mergeCell ref="I10:J10"/>
    <mergeCell ref="I11:J11"/>
    <mergeCell ref="I12:J12"/>
    <mergeCell ref="A22:B22"/>
    <mergeCell ref="I13:J13"/>
    <mergeCell ref="I15:J15"/>
    <mergeCell ref="I16:J16"/>
    <mergeCell ref="I17:J17"/>
    <mergeCell ref="D17:E17"/>
    <mergeCell ref="H19:L19"/>
    <mergeCell ref="I18:J18"/>
    <mergeCell ref="I8:J8"/>
    <mergeCell ref="I9:J9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</mergeCells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S42"/>
  <sheetViews>
    <sheetView topLeftCell="G1" workbookViewId="0">
      <selection activeCell="K7" sqref="K7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  <col min="18" max="18" width="11.85546875" bestFit="1" customWidth="1"/>
    <col min="19" max="19" width="18.5703125" customWidth="1"/>
  </cols>
  <sheetData>
    <row r="1" spans="1:19" ht="18.75" x14ac:dyDescent="0.3">
      <c r="A1" s="184" t="s">
        <v>30</v>
      </c>
      <c r="B1" s="184"/>
      <c r="C1" s="10"/>
      <c r="D1" s="199" t="s">
        <v>55</v>
      </c>
      <c r="E1" s="200"/>
      <c r="G1" s="184" t="s">
        <v>31</v>
      </c>
      <c r="H1" s="184"/>
      <c r="I1" s="184"/>
      <c r="J1" s="184"/>
      <c r="K1" s="184"/>
      <c r="L1" s="184"/>
      <c r="R1" s="202" t="s">
        <v>79</v>
      </c>
      <c r="S1" s="203"/>
    </row>
    <row r="2" spans="1:19" ht="18.75" x14ac:dyDescent="0.3">
      <c r="A2" s="184" t="s">
        <v>175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R2" s="6"/>
      <c r="S2" s="7"/>
    </row>
    <row r="3" spans="1:19" ht="15.75" x14ac:dyDescent="0.25">
      <c r="A3" s="2" t="s">
        <v>2</v>
      </c>
      <c r="B3" s="3">
        <f>H18</f>
        <v>9515</v>
      </c>
      <c r="C3" s="11"/>
      <c r="D3" s="2" t="s">
        <v>1</v>
      </c>
      <c r="E3" s="2" t="s">
        <v>6</v>
      </c>
      <c r="G3" s="6">
        <v>42534</v>
      </c>
      <c r="H3" s="7">
        <v>500</v>
      </c>
      <c r="I3" s="187" t="s">
        <v>148</v>
      </c>
      <c r="J3" s="188"/>
      <c r="K3" s="8" t="s">
        <v>149</v>
      </c>
      <c r="L3" s="8" t="s">
        <v>12</v>
      </c>
      <c r="R3" s="6"/>
      <c r="S3" s="7"/>
    </row>
    <row r="4" spans="1:19" ht="15.75" x14ac:dyDescent="0.25">
      <c r="A4" s="2" t="s">
        <v>3</v>
      </c>
      <c r="B4" s="3"/>
      <c r="C4" s="11"/>
      <c r="D4" s="5">
        <v>42537</v>
      </c>
      <c r="E4" s="21">
        <v>50</v>
      </c>
      <c r="G4" s="6">
        <v>42534</v>
      </c>
      <c r="H4" s="7">
        <v>500</v>
      </c>
      <c r="I4" s="187" t="s">
        <v>150</v>
      </c>
      <c r="J4" s="188"/>
      <c r="K4" s="8" t="s">
        <v>2225</v>
      </c>
      <c r="L4" s="8" t="s">
        <v>57</v>
      </c>
      <c r="M4" t="s">
        <v>156</v>
      </c>
      <c r="R4" s="6"/>
      <c r="S4" s="7"/>
    </row>
    <row r="5" spans="1:19" ht="15.75" x14ac:dyDescent="0.25">
      <c r="A5" s="2" t="s">
        <v>4</v>
      </c>
      <c r="B5" s="3">
        <f>SUM(H27:H39)</f>
        <v>2497.12</v>
      </c>
      <c r="C5" s="11"/>
      <c r="D5" s="5">
        <v>42542</v>
      </c>
      <c r="E5" s="21">
        <v>55</v>
      </c>
      <c r="G5" s="6">
        <v>42535</v>
      </c>
      <c r="H5" s="7">
        <v>1000</v>
      </c>
      <c r="I5" s="187" t="s">
        <v>150</v>
      </c>
      <c r="J5" s="188"/>
      <c r="K5" s="8" t="s">
        <v>151</v>
      </c>
      <c r="L5" s="8" t="s">
        <v>57</v>
      </c>
      <c r="R5" s="6"/>
      <c r="S5" s="7"/>
    </row>
    <row r="6" spans="1:19" ht="15.75" x14ac:dyDescent="0.25">
      <c r="A6" s="2"/>
      <c r="B6" s="3"/>
      <c r="C6" s="11"/>
      <c r="D6" s="22">
        <v>42545</v>
      </c>
      <c r="E6" s="21">
        <v>50</v>
      </c>
      <c r="G6" s="6">
        <v>42537</v>
      </c>
      <c r="H6" s="7">
        <v>150</v>
      </c>
      <c r="I6" s="187" t="s">
        <v>150</v>
      </c>
      <c r="J6" s="188"/>
      <c r="K6" s="8" t="s">
        <v>2278</v>
      </c>
      <c r="L6" s="8" t="s">
        <v>57</v>
      </c>
      <c r="R6" s="6"/>
      <c r="S6" s="21"/>
    </row>
    <row r="7" spans="1:19" ht="15.75" x14ac:dyDescent="0.25">
      <c r="A7" s="12" t="s">
        <v>5</v>
      </c>
      <c r="B7" s="25">
        <f>B3+B4-B5</f>
        <v>7017.88</v>
      </c>
      <c r="C7" s="11"/>
      <c r="D7" s="22">
        <v>42549</v>
      </c>
      <c r="E7" s="21">
        <v>166.66</v>
      </c>
      <c r="G7" s="6">
        <v>42537</v>
      </c>
      <c r="H7" s="7">
        <v>3915</v>
      </c>
      <c r="I7" s="187" t="s">
        <v>152</v>
      </c>
      <c r="J7" s="188"/>
      <c r="K7" s="8" t="s">
        <v>153</v>
      </c>
      <c r="L7" s="8" t="s">
        <v>12</v>
      </c>
      <c r="R7" s="6"/>
      <c r="S7" s="21"/>
    </row>
    <row r="8" spans="1:19" ht="15.75" x14ac:dyDescent="0.25">
      <c r="A8" s="2"/>
      <c r="B8" s="3"/>
      <c r="C8" s="11"/>
      <c r="D8" s="22">
        <v>42551</v>
      </c>
      <c r="E8" s="21">
        <v>50</v>
      </c>
      <c r="G8" s="6">
        <v>42550</v>
      </c>
      <c r="H8" s="7">
        <v>400</v>
      </c>
      <c r="I8" s="191" t="s">
        <v>162</v>
      </c>
      <c r="J8" s="192"/>
      <c r="K8" s="8" t="s">
        <v>161</v>
      </c>
      <c r="L8" s="8" t="s">
        <v>57</v>
      </c>
      <c r="R8" s="6"/>
      <c r="S8" s="21"/>
    </row>
    <row r="9" spans="1:19" ht="15.75" x14ac:dyDescent="0.25">
      <c r="A9" s="2" t="s">
        <v>14</v>
      </c>
      <c r="B9" s="3">
        <f>B7*0.1</f>
        <v>701.78800000000001</v>
      </c>
      <c r="C9" s="11"/>
      <c r="D9" s="23" t="s">
        <v>23</v>
      </c>
      <c r="E9" s="24">
        <f>SUM(E4:E8)</f>
        <v>371.65999999999997</v>
      </c>
      <c r="G9" s="6">
        <v>42551</v>
      </c>
      <c r="H9" s="7">
        <v>500</v>
      </c>
      <c r="I9" s="191" t="s">
        <v>165</v>
      </c>
      <c r="J9" s="192"/>
      <c r="K9" s="8" t="s">
        <v>166</v>
      </c>
      <c r="L9" s="8" t="s">
        <v>167</v>
      </c>
      <c r="M9" t="s">
        <v>156</v>
      </c>
      <c r="R9" s="6"/>
      <c r="S9" s="21"/>
    </row>
    <row r="10" spans="1:19" ht="15.75" x14ac:dyDescent="0.25">
      <c r="A10" s="2"/>
      <c r="B10" s="3"/>
      <c r="C10" s="11"/>
      <c r="D10" s="189" t="s">
        <v>11</v>
      </c>
      <c r="E10" s="190"/>
      <c r="G10" s="6">
        <v>42555</v>
      </c>
      <c r="H10" s="7">
        <v>1000</v>
      </c>
      <c r="I10" s="191" t="s">
        <v>168</v>
      </c>
      <c r="J10" s="192"/>
      <c r="K10" s="8" t="s">
        <v>169</v>
      </c>
      <c r="L10" s="8" t="s">
        <v>167</v>
      </c>
      <c r="R10" s="6"/>
      <c r="S10" s="21"/>
    </row>
    <row r="11" spans="1:19" ht="15.75" x14ac:dyDescent="0.25">
      <c r="A11" s="2" t="s">
        <v>59</v>
      </c>
      <c r="B11" s="3">
        <f>(B7-B9)/3</f>
        <v>2105.364</v>
      </c>
      <c r="C11" s="11"/>
      <c r="D11" s="2" t="s">
        <v>1</v>
      </c>
      <c r="E11" s="2" t="s">
        <v>6</v>
      </c>
      <c r="G11" s="6">
        <v>42556</v>
      </c>
      <c r="H11" s="7">
        <v>550</v>
      </c>
      <c r="I11" s="191" t="s">
        <v>150</v>
      </c>
      <c r="J11" s="192"/>
      <c r="K11" s="8" t="s">
        <v>170</v>
      </c>
      <c r="L11" s="8" t="s">
        <v>167</v>
      </c>
      <c r="R11" s="6"/>
      <c r="S11" s="21"/>
    </row>
    <row r="12" spans="1:19" ht="15.75" x14ac:dyDescent="0.25">
      <c r="A12" s="2"/>
      <c r="B12" s="3"/>
      <c r="C12" s="11"/>
      <c r="D12" s="5">
        <v>42530</v>
      </c>
      <c r="E12" s="4">
        <v>121</v>
      </c>
      <c r="G12" s="6">
        <v>42556</v>
      </c>
      <c r="H12" s="7">
        <v>500</v>
      </c>
      <c r="I12" s="191" t="s">
        <v>150</v>
      </c>
      <c r="J12" s="192"/>
      <c r="K12" s="8" t="s">
        <v>2265</v>
      </c>
      <c r="L12" s="8" t="s">
        <v>57</v>
      </c>
      <c r="M12" t="s">
        <v>156</v>
      </c>
      <c r="R12" s="6"/>
      <c r="S12" s="21"/>
    </row>
    <row r="13" spans="1:19" ht="15.75" x14ac:dyDescent="0.25">
      <c r="A13" s="2"/>
      <c r="B13" s="3"/>
      <c r="C13" s="11"/>
      <c r="D13" s="5">
        <v>42549</v>
      </c>
      <c r="E13" s="21">
        <v>166.66</v>
      </c>
      <c r="G13" s="6">
        <v>42559</v>
      </c>
      <c r="H13" s="7">
        <v>500</v>
      </c>
      <c r="I13" s="191" t="s">
        <v>150</v>
      </c>
      <c r="J13" s="192"/>
      <c r="K13" s="8" t="s">
        <v>174</v>
      </c>
      <c r="L13" s="8" t="s">
        <v>167</v>
      </c>
      <c r="R13" s="32"/>
      <c r="S13" s="26"/>
    </row>
    <row r="14" spans="1:19" ht="15.75" x14ac:dyDescent="0.25">
      <c r="A14" s="2"/>
      <c r="B14" s="3"/>
      <c r="C14" s="11"/>
      <c r="D14" s="5">
        <v>42555</v>
      </c>
      <c r="E14" s="21">
        <v>50</v>
      </c>
      <c r="G14" s="6"/>
      <c r="H14" s="7"/>
      <c r="I14" s="191"/>
      <c r="J14" s="192"/>
      <c r="K14" s="8"/>
      <c r="L14" s="8"/>
      <c r="R14" s="32"/>
      <c r="S14" s="26"/>
    </row>
    <row r="15" spans="1:19" ht="15.75" x14ac:dyDescent="0.25">
      <c r="A15" s="2"/>
      <c r="B15" s="3"/>
      <c r="C15" s="11"/>
      <c r="D15" s="22">
        <v>42557</v>
      </c>
      <c r="E15" s="4">
        <v>50</v>
      </c>
      <c r="G15" s="6"/>
      <c r="H15" s="7"/>
      <c r="I15" s="191"/>
      <c r="J15" s="192"/>
      <c r="K15" s="8"/>
      <c r="L15" s="8"/>
      <c r="R15" s="32"/>
      <c r="S15" s="26"/>
    </row>
    <row r="16" spans="1:19" ht="15.75" x14ac:dyDescent="0.25">
      <c r="A16" s="2"/>
      <c r="B16" s="2"/>
      <c r="C16" s="1"/>
      <c r="D16" s="22">
        <v>42528</v>
      </c>
      <c r="E16" s="21">
        <v>100</v>
      </c>
      <c r="G16" s="6"/>
      <c r="H16" s="7"/>
      <c r="I16" s="191"/>
      <c r="J16" s="192"/>
      <c r="K16" s="8"/>
      <c r="L16" s="8"/>
      <c r="R16" s="32"/>
      <c r="S16" s="26"/>
    </row>
    <row r="17" spans="1:19" ht="15.75" x14ac:dyDescent="0.25">
      <c r="A17" s="198" t="s">
        <v>56</v>
      </c>
      <c r="B17" s="198"/>
      <c r="C17" s="1"/>
      <c r="D17" s="23" t="s">
        <v>23</v>
      </c>
      <c r="E17" s="24">
        <f>SUM(E12:E16)</f>
        <v>487.65999999999997</v>
      </c>
      <c r="G17" s="6"/>
      <c r="H17" s="7"/>
      <c r="I17" s="191"/>
      <c r="J17" s="192"/>
      <c r="K17" s="8"/>
      <c r="L17" s="8"/>
      <c r="R17" s="32"/>
      <c r="S17" s="26"/>
    </row>
    <row r="18" spans="1:19" ht="15.75" x14ac:dyDescent="0.25">
      <c r="A18" s="2" t="s">
        <v>10</v>
      </c>
      <c r="B18" s="3">
        <f>B11-E9</f>
        <v>1733.7040000000002</v>
      </c>
      <c r="C18" s="1"/>
      <c r="D18" s="189" t="s">
        <v>12</v>
      </c>
      <c r="E18" s="190"/>
      <c r="G18" s="6" t="s">
        <v>23</v>
      </c>
      <c r="H18" s="193">
        <f>SUM(H3:H17)</f>
        <v>9515</v>
      </c>
      <c r="I18" s="194"/>
      <c r="J18" s="194"/>
      <c r="K18" s="194"/>
      <c r="L18" s="195"/>
      <c r="R18" s="32"/>
      <c r="S18" s="26"/>
    </row>
    <row r="19" spans="1:19" ht="15.75" x14ac:dyDescent="0.25">
      <c r="A19" s="2" t="s">
        <v>57</v>
      </c>
      <c r="B19" s="3">
        <f>B11-E17</f>
        <v>1617.7040000000002</v>
      </c>
      <c r="C19" s="1"/>
      <c r="D19" s="2" t="s">
        <v>1</v>
      </c>
      <c r="E19" s="2" t="s">
        <v>6</v>
      </c>
      <c r="G19" s="1"/>
      <c r="H19" s="1"/>
      <c r="I19" s="1"/>
      <c r="J19" s="1"/>
      <c r="K19" s="196" t="s">
        <v>176</v>
      </c>
      <c r="L19" s="196"/>
      <c r="R19" s="32"/>
      <c r="S19" s="26"/>
    </row>
    <row r="20" spans="1:19" ht="15.75" x14ac:dyDescent="0.25">
      <c r="A20" s="2" t="s">
        <v>12</v>
      </c>
      <c r="B20" s="3">
        <f>B11-E25</f>
        <v>1938.704</v>
      </c>
      <c r="C20" s="1"/>
      <c r="D20" s="5">
        <v>42549</v>
      </c>
      <c r="E20" s="21">
        <v>166.66</v>
      </c>
      <c r="G20" s="180" t="s">
        <v>69</v>
      </c>
      <c r="H20" s="180"/>
      <c r="I20" s="180" t="s">
        <v>69</v>
      </c>
      <c r="J20" s="180"/>
      <c r="K20" s="180" t="s">
        <v>69</v>
      </c>
      <c r="L20" s="180"/>
      <c r="R20" s="2" t="s">
        <v>23</v>
      </c>
      <c r="S20" s="21">
        <f>SUM(S2:S19)</f>
        <v>0</v>
      </c>
    </row>
    <row r="21" spans="1:19" ht="15.75" x14ac:dyDescent="0.25">
      <c r="A21" s="2"/>
      <c r="B21" s="2"/>
      <c r="C21" s="1"/>
      <c r="D21" s="5"/>
      <c r="E21" s="21"/>
      <c r="G21" s="180" t="s">
        <v>63</v>
      </c>
      <c r="H21" s="180"/>
      <c r="I21" s="180" t="s">
        <v>65</v>
      </c>
      <c r="J21" s="180"/>
      <c r="K21" s="180" t="s">
        <v>67</v>
      </c>
      <c r="L21" s="180"/>
    </row>
    <row r="22" spans="1:19" ht="15.75" x14ac:dyDescent="0.25">
      <c r="A22" s="2"/>
      <c r="B22" s="2"/>
      <c r="C22" s="1"/>
      <c r="D22" s="22"/>
      <c r="E22" s="21"/>
      <c r="K22" s="180"/>
      <c r="L22" s="180"/>
    </row>
    <row r="23" spans="1:19" ht="15.75" x14ac:dyDescent="0.25">
      <c r="A23" s="1"/>
      <c r="B23" s="1"/>
      <c r="C23" s="1"/>
      <c r="D23" s="22"/>
      <c r="E23" s="21"/>
      <c r="F23" s="1"/>
      <c r="K23" s="18"/>
      <c r="L23" s="18"/>
    </row>
    <row r="24" spans="1:19" ht="15.75" x14ac:dyDescent="0.25">
      <c r="A24" s="196" t="s">
        <v>176</v>
      </c>
      <c r="B24" s="196"/>
      <c r="C24" s="1"/>
      <c r="D24" s="22"/>
      <c r="E24" s="21"/>
      <c r="F24" s="1"/>
      <c r="K24" s="18"/>
      <c r="L24" s="18"/>
    </row>
    <row r="25" spans="1:19" ht="18.75" x14ac:dyDescent="0.3">
      <c r="A25" s="1"/>
      <c r="B25" s="1"/>
      <c r="C25" s="1"/>
      <c r="D25" s="12" t="s">
        <v>23</v>
      </c>
      <c r="E25" s="24">
        <f>SUM(E20:E24)</f>
        <v>166.66</v>
      </c>
      <c r="F25" s="1"/>
      <c r="G25" s="199" t="s">
        <v>25</v>
      </c>
      <c r="H25" s="207"/>
      <c r="I25" s="207"/>
      <c r="J25" s="200"/>
      <c r="K25" s="180"/>
      <c r="L25" s="180"/>
    </row>
    <row r="26" spans="1:19" ht="15.75" x14ac:dyDescent="0.25">
      <c r="A26" s="1"/>
      <c r="B26" s="1"/>
      <c r="C26" s="1"/>
      <c r="D26" s="17"/>
      <c r="E26" s="17"/>
      <c r="F26" s="1"/>
      <c r="G26" s="2" t="s">
        <v>1</v>
      </c>
      <c r="H26" s="2" t="s">
        <v>6</v>
      </c>
      <c r="I26" s="182" t="s">
        <v>13</v>
      </c>
      <c r="J26" s="183"/>
      <c r="K26" s="180"/>
      <c r="L26" s="180"/>
    </row>
    <row r="27" spans="1:19" ht="18.75" x14ac:dyDescent="0.3">
      <c r="A27" s="17"/>
      <c r="B27" s="17"/>
      <c r="C27" s="17"/>
      <c r="D27" s="178"/>
      <c r="E27" s="178"/>
      <c r="F27" s="9"/>
      <c r="G27" s="6">
        <v>42531</v>
      </c>
      <c r="H27" s="4">
        <v>143.15</v>
      </c>
      <c r="I27" s="182" t="s">
        <v>147</v>
      </c>
      <c r="J27" s="183"/>
      <c r="K27" s="18"/>
      <c r="L27" s="18"/>
    </row>
    <row r="28" spans="1:19" ht="15.75" customHeight="1" x14ac:dyDescent="0.25">
      <c r="A28" s="209" t="s">
        <v>178</v>
      </c>
      <c r="B28" s="209"/>
      <c r="C28" s="209"/>
      <c r="D28" s="209"/>
      <c r="E28" s="209"/>
      <c r="F28" s="209"/>
      <c r="G28" s="6">
        <v>42538</v>
      </c>
      <c r="H28" s="3">
        <v>150</v>
      </c>
      <c r="I28" s="182" t="s">
        <v>154</v>
      </c>
      <c r="J28" s="183"/>
      <c r="K28" s="18"/>
      <c r="L28" s="18"/>
    </row>
    <row r="29" spans="1:19" ht="15.75" customHeight="1" x14ac:dyDescent="0.25">
      <c r="A29" s="209"/>
      <c r="B29" s="209"/>
      <c r="C29" s="209"/>
      <c r="D29" s="209"/>
      <c r="E29" s="209"/>
      <c r="F29" s="209"/>
      <c r="G29" s="6">
        <v>42542</v>
      </c>
      <c r="H29" s="4">
        <v>22.5</v>
      </c>
      <c r="I29" s="182" t="s">
        <v>155</v>
      </c>
      <c r="J29" s="183"/>
      <c r="K29" s="180"/>
      <c r="L29" s="180"/>
    </row>
    <row r="30" spans="1:19" ht="15.75" customHeight="1" x14ac:dyDescent="0.25">
      <c r="A30" s="209"/>
      <c r="B30" s="209"/>
      <c r="C30" s="209"/>
      <c r="D30" s="209"/>
      <c r="E30" s="209"/>
      <c r="F30" s="209"/>
      <c r="G30" s="6">
        <v>42550</v>
      </c>
      <c r="H30" s="4">
        <v>20</v>
      </c>
      <c r="I30" s="182" t="s">
        <v>160</v>
      </c>
      <c r="J30" s="183"/>
      <c r="K30" s="180"/>
      <c r="L30" s="180"/>
    </row>
    <row r="31" spans="1:19" ht="15.75" x14ac:dyDescent="0.25">
      <c r="A31" s="17"/>
      <c r="B31" s="29"/>
      <c r="C31" s="29"/>
      <c r="D31" s="29"/>
      <c r="E31" s="20"/>
      <c r="F31" s="1"/>
      <c r="G31" s="6">
        <v>42550</v>
      </c>
      <c r="H31" s="3">
        <v>30</v>
      </c>
      <c r="I31" s="182" t="s">
        <v>157</v>
      </c>
      <c r="J31" s="183"/>
    </row>
    <row r="32" spans="1:19" ht="15.75" x14ac:dyDescent="0.25">
      <c r="A32" s="178" t="s">
        <v>177</v>
      </c>
      <c r="B32" s="178"/>
      <c r="C32" s="178" t="s">
        <v>177</v>
      </c>
      <c r="D32" s="178"/>
      <c r="E32" s="178" t="s">
        <v>177</v>
      </c>
      <c r="F32" s="178"/>
      <c r="G32" s="6">
        <v>42550</v>
      </c>
      <c r="H32" s="4">
        <v>132</v>
      </c>
      <c r="I32" s="182" t="s">
        <v>158</v>
      </c>
      <c r="J32" s="183"/>
    </row>
    <row r="33" spans="1:12" ht="15.75" x14ac:dyDescent="0.25">
      <c r="A33" s="180" t="s">
        <v>63</v>
      </c>
      <c r="B33" s="180"/>
      <c r="C33" s="180" t="s">
        <v>65</v>
      </c>
      <c r="D33" s="180"/>
      <c r="E33" s="180" t="s">
        <v>67</v>
      </c>
      <c r="F33" s="206"/>
      <c r="G33" s="6">
        <v>42544</v>
      </c>
      <c r="H33" s="4">
        <v>15.94</v>
      </c>
      <c r="I33" s="182" t="s">
        <v>159</v>
      </c>
      <c r="J33" s="183"/>
    </row>
    <row r="34" spans="1:12" ht="15.75" x14ac:dyDescent="0.25">
      <c r="G34" s="6">
        <v>42551</v>
      </c>
      <c r="H34" s="4">
        <v>10</v>
      </c>
      <c r="I34" s="182" t="s">
        <v>164</v>
      </c>
      <c r="J34" s="183"/>
    </row>
    <row r="35" spans="1:12" ht="15.75" x14ac:dyDescent="0.25">
      <c r="G35" s="6">
        <v>42552</v>
      </c>
      <c r="H35" s="4">
        <v>130.36000000000001</v>
      </c>
      <c r="I35" s="208" t="s">
        <v>163</v>
      </c>
      <c r="J35" s="208"/>
    </row>
    <row r="36" spans="1:12" ht="15.75" x14ac:dyDescent="0.25">
      <c r="G36" s="6">
        <v>42555</v>
      </c>
      <c r="H36" s="4">
        <v>20</v>
      </c>
      <c r="I36" s="182" t="s">
        <v>171</v>
      </c>
      <c r="J36" s="183"/>
    </row>
    <row r="37" spans="1:12" ht="15.75" x14ac:dyDescent="0.25">
      <c r="G37" s="6">
        <v>42557</v>
      </c>
      <c r="H37" s="35">
        <v>184.76</v>
      </c>
      <c r="I37" s="182" t="s">
        <v>172</v>
      </c>
      <c r="J37" s="183"/>
      <c r="K37" s="204" t="s">
        <v>179</v>
      </c>
      <c r="L37" s="205"/>
    </row>
    <row r="38" spans="1:12" ht="15.75" x14ac:dyDescent="0.25">
      <c r="G38" s="6">
        <v>42557</v>
      </c>
      <c r="H38" s="35">
        <v>138.41</v>
      </c>
      <c r="I38" s="182" t="s">
        <v>147</v>
      </c>
      <c r="J38" s="183"/>
    </row>
    <row r="39" spans="1:12" ht="15.75" x14ac:dyDescent="0.25">
      <c r="G39" s="6">
        <v>42559</v>
      </c>
      <c r="H39" s="35">
        <v>1500</v>
      </c>
      <c r="I39" s="182" t="s">
        <v>173</v>
      </c>
      <c r="J39" s="183"/>
    </row>
    <row r="41" spans="1:12" x14ac:dyDescent="0.25">
      <c r="G41" s="180" t="s">
        <v>64</v>
      </c>
      <c r="H41" s="180"/>
      <c r="I41" s="180" t="s">
        <v>64</v>
      </c>
      <c r="J41" s="180"/>
      <c r="K41" s="180" t="s">
        <v>64</v>
      </c>
      <c r="L41" s="180"/>
    </row>
    <row r="42" spans="1:12" x14ac:dyDescent="0.25">
      <c r="G42" s="180" t="s">
        <v>63</v>
      </c>
      <c r="H42" s="180"/>
      <c r="I42" s="180" t="s">
        <v>65</v>
      </c>
      <c r="J42" s="180"/>
      <c r="K42" s="180" t="s">
        <v>67</v>
      </c>
      <c r="L42" s="180"/>
    </row>
  </sheetData>
  <mergeCells count="69">
    <mergeCell ref="R1:S1"/>
    <mergeCell ref="K29:L29"/>
    <mergeCell ref="I35:J35"/>
    <mergeCell ref="K30:L30"/>
    <mergeCell ref="A17:B17"/>
    <mergeCell ref="I17:J17"/>
    <mergeCell ref="K26:L26"/>
    <mergeCell ref="K19:L19"/>
    <mergeCell ref="K21:L21"/>
    <mergeCell ref="K22:L22"/>
    <mergeCell ref="A24:B24"/>
    <mergeCell ref="K20:L20"/>
    <mergeCell ref="A28:F30"/>
    <mergeCell ref="A32:B32"/>
    <mergeCell ref="C32:D32"/>
    <mergeCell ref="K25:L25"/>
    <mergeCell ref="D18:E18"/>
    <mergeCell ref="H18:L18"/>
    <mergeCell ref="I34:J34"/>
    <mergeCell ref="D27:E27"/>
    <mergeCell ref="D10:E10"/>
    <mergeCell ref="I31:J31"/>
    <mergeCell ref="I32:J32"/>
    <mergeCell ref="I10:J10"/>
    <mergeCell ref="I11:J11"/>
    <mergeCell ref="I12:J12"/>
    <mergeCell ref="I13:J13"/>
    <mergeCell ref="I14:J14"/>
    <mergeCell ref="I15:J15"/>
    <mergeCell ref="I16:J16"/>
    <mergeCell ref="E32:F32"/>
    <mergeCell ref="I8:J8"/>
    <mergeCell ref="I9:J9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  <mergeCell ref="I36:J36"/>
    <mergeCell ref="G20:H20"/>
    <mergeCell ref="G21:H21"/>
    <mergeCell ref="I20:J20"/>
    <mergeCell ref="I21:J21"/>
    <mergeCell ref="I33:J33"/>
    <mergeCell ref="A33:B33"/>
    <mergeCell ref="C33:D33"/>
    <mergeCell ref="E33:F33"/>
    <mergeCell ref="G25:J25"/>
    <mergeCell ref="I27:J27"/>
    <mergeCell ref="I28:J28"/>
    <mergeCell ref="I29:J29"/>
    <mergeCell ref="I30:J30"/>
    <mergeCell ref="I26:J26"/>
    <mergeCell ref="K37:L37"/>
    <mergeCell ref="G41:H41"/>
    <mergeCell ref="I41:J41"/>
    <mergeCell ref="K41:L41"/>
    <mergeCell ref="K42:L42"/>
    <mergeCell ref="I42:J42"/>
    <mergeCell ref="G42:H42"/>
    <mergeCell ref="I39:J39"/>
    <mergeCell ref="I38:J38"/>
    <mergeCell ref="I37:J37"/>
  </mergeCells>
  <pageMargins left="0.59055118110236227" right="0.39370078740157483" top="0.39370078740157483" bottom="0.39370078740157483" header="0.31496062992125984" footer="0.31496062992125984"/>
  <pageSetup paperSize="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S47"/>
  <sheetViews>
    <sheetView topLeftCell="F6" zoomScaleNormal="100" workbookViewId="0">
      <selection activeCell="K11" sqref="K11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  <col min="18" max="18" width="11.85546875" bestFit="1" customWidth="1"/>
    <col min="19" max="19" width="18.5703125" customWidth="1"/>
  </cols>
  <sheetData>
    <row r="1" spans="1:19" ht="18.75" x14ac:dyDescent="0.3">
      <c r="A1" s="184" t="s">
        <v>32</v>
      </c>
      <c r="B1" s="184"/>
      <c r="C1" s="10"/>
      <c r="D1" s="199" t="s">
        <v>55</v>
      </c>
      <c r="E1" s="200"/>
      <c r="G1" s="184" t="s">
        <v>33</v>
      </c>
      <c r="H1" s="184"/>
      <c r="I1" s="184"/>
      <c r="J1" s="184"/>
      <c r="K1" s="184"/>
      <c r="L1" s="184"/>
      <c r="R1" s="202" t="s">
        <v>79</v>
      </c>
      <c r="S1" s="203"/>
    </row>
    <row r="2" spans="1:19" ht="18.75" x14ac:dyDescent="0.3">
      <c r="A2" s="184" t="s">
        <v>225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R2" s="6">
        <v>42576</v>
      </c>
      <c r="S2" s="7">
        <v>2835</v>
      </c>
    </row>
    <row r="3" spans="1:19" ht="15.75" x14ac:dyDescent="0.25">
      <c r="A3" s="2" t="s">
        <v>2</v>
      </c>
      <c r="B3" s="3">
        <f>H23</f>
        <v>10190.560000000001</v>
      </c>
      <c r="C3" s="11"/>
      <c r="D3" s="2" t="s">
        <v>1</v>
      </c>
      <c r="E3" s="2" t="s">
        <v>6</v>
      </c>
      <c r="G3" s="6">
        <v>42562</v>
      </c>
      <c r="H3" s="7">
        <v>500</v>
      </c>
      <c r="I3" s="187" t="s">
        <v>150</v>
      </c>
      <c r="J3" s="188"/>
      <c r="K3" s="8" t="s">
        <v>2225</v>
      </c>
      <c r="L3" s="8" t="s">
        <v>57</v>
      </c>
      <c r="M3" t="s">
        <v>180</v>
      </c>
      <c r="R3" s="6"/>
      <c r="S3" s="7"/>
    </row>
    <row r="4" spans="1:19" ht="15.75" x14ac:dyDescent="0.25">
      <c r="A4" s="2" t="s">
        <v>3</v>
      </c>
      <c r="B4" s="3"/>
      <c r="C4" s="11"/>
      <c r="D4" s="5">
        <v>42566</v>
      </c>
      <c r="E4" s="21">
        <v>28.8</v>
      </c>
      <c r="F4" t="s">
        <v>188</v>
      </c>
      <c r="G4" s="6">
        <v>42564</v>
      </c>
      <c r="H4" s="7">
        <v>150</v>
      </c>
      <c r="I4" s="187" t="s">
        <v>181</v>
      </c>
      <c r="J4" s="188"/>
      <c r="K4" s="8" t="s">
        <v>182</v>
      </c>
      <c r="L4" s="8" t="s">
        <v>57</v>
      </c>
      <c r="R4" s="6"/>
      <c r="S4" s="7"/>
    </row>
    <row r="5" spans="1:19" ht="15.75" x14ac:dyDescent="0.25">
      <c r="A5" s="2" t="s">
        <v>4</v>
      </c>
      <c r="B5" s="3">
        <f>SUM(H32:H44)</f>
        <v>2205.9</v>
      </c>
      <c r="C5" s="11"/>
      <c r="D5" s="5">
        <v>42573</v>
      </c>
      <c r="E5" s="21">
        <v>85.13</v>
      </c>
      <c r="F5" t="s">
        <v>197</v>
      </c>
      <c r="G5" s="6">
        <v>42564</v>
      </c>
      <c r="H5" s="7">
        <v>450</v>
      </c>
      <c r="I5" s="187" t="s">
        <v>184</v>
      </c>
      <c r="J5" s="188"/>
      <c r="K5" s="8" t="s">
        <v>183</v>
      </c>
      <c r="L5" s="8" t="s">
        <v>10</v>
      </c>
      <c r="R5" s="6"/>
      <c r="S5" s="7"/>
    </row>
    <row r="6" spans="1:19" ht="15.75" x14ac:dyDescent="0.25">
      <c r="A6" s="2"/>
      <c r="B6" s="3"/>
      <c r="C6" s="11"/>
      <c r="D6" s="22">
        <v>42591</v>
      </c>
      <c r="E6" s="21">
        <v>129.55000000000001</v>
      </c>
      <c r="F6" t="s">
        <v>221</v>
      </c>
      <c r="G6" s="6">
        <v>42564</v>
      </c>
      <c r="H6" s="7">
        <v>160</v>
      </c>
      <c r="I6" s="187" t="s">
        <v>185</v>
      </c>
      <c r="J6" s="188"/>
      <c r="K6" s="8" t="s">
        <v>186</v>
      </c>
      <c r="L6" s="8" t="s">
        <v>12</v>
      </c>
      <c r="R6" s="6"/>
      <c r="S6" s="21"/>
    </row>
    <row r="7" spans="1:19" ht="15.75" x14ac:dyDescent="0.25">
      <c r="A7" s="12" t="s">
        <v>5</v>
      </c>
      <c r="B7" s="25">
        <f>B3+B4-B5</f>
        <v>7984.6600000000017</v>
      </c>
      <c r="C7" s="11"/>
      <c r="D7" s="22"/>
      <c r="E7" s="21"/>
      <c r="G7" s="6">
        <v>42569</v>
      </c>
      <c r="H7" s="7">
        <v>500</v>
      </c>
      <c r="I7" s="187" t="s">
        <v>189</v>
      </c>
      <c r="J7" s="188"/>
      <c r="K7" s="8" t="s">
        <v>190</v>
      </c>
      <c r="L7" s="8" t="s">
        <v>57</v>
      </c>
      <c r="R7" s="6"/>
      <c r="S7" s="21"/>
    </row>
    <row r="8" spans="1:19" ht="15.75" x14ac:dyDescent="0.25">
      <c r="A8" s="2"/>
      <c r="B8" s="3"/>
      <c r="C8" s="11"/>
      <c r="D8" s="22"/>
      <c r="E8" s="21"/>
      <c r="G8" s="6">
        <v>42573</v>
      </c>
      <c r="H8" s="7">
        <v>1000</v>
      </c>
      <c r="I8" s="191" t="s">
        <v>191</v>
      </c>
      <c r="J8" s="192"/>
      <c r="K8" s="8" t="s">
        <v>192</v>
      </c>
      <c r="L8" s="8" t="s">
        <v>57</v>
      </c>
      <c r="R8" s="6"/>
      <c r="S8" s="21"/>
    </row>
    <row r="9" spans="1:19" ht="15.75" x14ac:dyDescent="0.25">
      <c r="A9" s="2" t="s">
        <v>14</v>
      </c>
      <c r="B9" s="3">
        <f>B7*0.1</f>
        <v>798.46600000000024</v>
      </c>
      <c r="C9" s="11"/>
      <c r="D9" s="23" t="s">
        <v>23</v>
      </c>
      <c r="E9" s="24">
        <f>SUM(E4:E8)</f>
        <v>243.48000000000002</v>
      </c>
      <c r="G9" s="6">
        <v>42573</v>
      </c>
      <c r="H9" s="7">
        <v>500</v>
      </c>
      <c r="I9" s="191" t="s">
        <v>191</v>
      </c>
      <c r="J9" s="192"/>
      <c r="K9" s="8" t="s">
        <v>196</v>
      </c>
      <c r="L9" s="8" t="s">
        <v>10</v>
      </c>
      <c r="R9" s="6"/>
      <c r="S9" s="21"/>
    </row>
    <row r="10" spans="1:19" ht="15.75" x14ac:dyDescent="0.25">
      <c r="A10" s="2"/>
      <c r="B10" s="3"/>
      <c r="C10" s="11"/>
      <c r="D10" s="189" t="s">
        <v>11</v>
      </c>
      <c r="E10" s="190"/>
      <c r="G10" s="6">
        <v>42576</v>
      </c>
      <c r="H10" s="7">
        <v>650</v>
      </c>
      <c r="I10" s="191" t="s">
        <v>201</v>
      </c>
      <c r="J10" s="192"/>
      <c r="K10" s="8" t="s">
        <v>202</v>
      </c>
      <c r="L10" s="8" t="s">
        <v>10</v>
      </c>
      <c r="R10" s="6"/>
      <c r="S10" s="21"/>
    </row>
    <row r="11" spans="1:19" ht="15.75" x14ac:dyDescent="0.25">
      <c r="A11" s="2" t="s">
        <v>59</v>
      </c>
      <c r="B11" s="3">
        <f>(B7-B9)/3</f>
        <v>2395.3980000000006</v>
      </c>
      <c r="C11" s="11"/>
      <c r="D11" s="2" t="s">
        <v>1</v>
      </c>
      <c r="E11" s="2" t="s">
        <v>6</v>
      </c>
      <c r="G11" s="6">
        <v>42576</v>
      </c>
      <c r="H11" s="7">
        <v>1000</v>
      </c>
      <c r="I11" s="191" t="s">
        <v>46</v>
      </c>
      <c r="J11" s="192"/>
      <c r="K11" s="8" t="s">
        <v>203</v>
      </c>
      <c r="L11" s="8" t="s">
        <v>12</v>
      </c>
      <c r="M11" t="s">
        <v>180</v>
      </c>
      <c r="R11" s="6"/>
      <c r="S11" s="21"/>
    </row>
    <row r="12" spans="1:19" ht="15.75" x14ac:dyDescent="0.25">
      <c r="A12" s="2"/>
      <c r="B12" s="3"/>
      <c r="C12" s="11"/>
      <c r="D12" s="5">
        <v>42573</v>
      </c>
      <c r="E12" s="21">
        <v>112.34</v>
      </c>
      <c r="F12" t="s">
        <v>198</v>
      </c>
      <c r="G12" s="6">
        <v>42578</v>
      </c>
      <c r="H12" s="7">
        <v>505.56</v>
      </c>
      <c r="I12" s="191" t="s">
        <v>205</v>
      </c>
      <c r="J12" s="192"/>
      <c r="K12" s="8" t="s">
        <v>206</v>
      </c>
      <c r="L12" s="8" t="s">
        <v>57</v>
      </c>
      <c r="M12" t="s">
        <v>180</v>
      </c>
      <c r="R12" s="6"/>
      <c r="S12" s="21"/>
    </row>
    <row r="13" spans="1:19" ht="15.75" x14ac:dyDescent="0.25">
      <c r="A13" s="2"/>
      <c r="B13" s="3"/>
      <c r="C13" s="11"/>
      <c r="D13" s="5">
        <v>42583</v>
      </c>
      <c r="E13" s="21">
        <v>213</v>
      </c>
      <c r="F13" t="s">
        <v>228</v>
      </c>
      <c r="G13" s="6">
        <v>42583</v>
      </c>
      <c r="H13" s="7">
        <v>500</v>
      </c>
      <c r="I13" s="191" t="s">
        <v>208</v>
      </c>
      <c r="J13" s="192"/>
      <c r="K13" s="8" t="s">
        <v>2227</v>
      </c>
      <c r="L13" s="8" t="s">
        <v>57</v>
      </c>
      <c r="R13" s="32"/>
      <c r="S13" s="26"/>
    </row>
    <row r="14" spans="1:19" ht="15.75" x14ac:dyDescent="0.25">
      <c r="A14" s="2"/>
      <c r="B14" s="3"/>
      <c r="C14" s="11"/>
      <c r="D14" s="5">
        <v>42583</v>
      </c>
      <c r="E14" s="21">
        <v>800</v>
      </c>
      <c r="G14" s="6">
        <v>42586</v>
      </c>
      <c r="H14" s="7">
        <v>500</v>
      </c>
      <c r="I14" s="191" t="s">
        <v>213</v>
      </c>
      <c r="J14" s="192"/>
      <c r="K14" s="8" t="s">
        <v>190</v>
      </c>
      <c r="L14" s="8" t="s">
        <v>57</v>
      </c>
      <c r="R14" s="32"/>
      <c r="S14" s="26"/>
    </row>
    <row r="15" spans="1:19" ht="15.75" x14ac:dyDescent="0.25">
      <c r="A15" s="2"/>
      <c r="B15" s="3"/>
      <c r="C15" s="11"/>
      <c r="D15" s="22"/>
      <c r="E15" s="4"/>
      <c r="G15" s="6">
        <v>42587</v>
      </c>
      <c r="H15" s="7">
        <v>500</v>
      </c>
      <c r="I15" s="191" t="s">
        <v>214</v>
      </c>
      <c r="J15" s="192"/>
      <c r="K15" s="8" t="s">
        <v>2266</v>
      </c>
      <c r="L15" s="8" t="s">
        <v>57</v>
      </c>
      <c r="M15" t="s">
        <v>180</v>
      </c>
      <c r="R15" s="32"/>
      <c r="S15" s="26"/>
    </row>
    <row r="16" spans="1:19" ht="15.75" x14ac:dyDescent="0.25">
      <c r="A16" s="2"/>
      <c r="B16" s="2"/>
      <c r="C16" s="1"/>
      <c r="D16" s="22"/>
      <c r="E16" s="21"/>
      <c r="G16" s="6">
        <v>42591</v>
      </c>
      <c r="H16" s="7">
        <v>175</v>
      </c>
      <c r="I16" s="191" t="s">
        <v>215</v>
      </c>
      <c r="J16" s="192"/>
      <c r="K16" s="8" t="s">
        <v>216</v>
      </c>
      <c r="L16" s="8" t="s">
        <v>57</v>
      </c>
      <c r="R16" s="32"/>
      <c r="S16" s="26"/>
    </row>
    <row r="17" spans="1:19" ht="15.75" x14ac:dyDescent="0.25">
      <c r="A17" s="198" t="s">
        <v>56</v>
      </c>
      <c r="B17" s="198"/>
      <c r="C17" s="1"/>
      <c r="D17" s="23" t="s">
        <v>23</v>
      </c>
      <c r="E17" s="24">
        <f>SUM(E12:E16)</f>
        <v>1125.3400000000001</v>
      </c>
      <c r="G17" s="6">
        <v>42591</v>
      </c>
      <c r="H17" s="7">
        <v>100</v>
      </c>
      <c r="I17" s="191" t="s">
        <v>219</v>
      </c>
      <c r="J17" s="192"/>
      <c r="K17" s="8" t="s">
        <v>220</v>
      </c>
      <c r="L17" s="8" t="s">
        <v>12</v>
      </c>
      <c r="R17" s="32"/>
      <c r="S17" s="26"/>
    </row>
    <row r="18" spans="1:19" ht="15.75" x14ac:dyDescent="0.25">
      <c r="A18" s="2" t="s">
        <v>10</v>
      </c>
      <c r="B18" s="3">
        <f>B11-E9</f>
        <v>2151.9180000000006</v>
      </c>
      <c r="C18" s="1"/>
      <c r="D18" s="189" t="s">
        <v>12</v>
      </c>
      <c r="E18" s="190"/>
      <c r="G18" s="6">
        <v>42592</v>
      </c>
      <c r="H18" s="7">
        <v>500</v>
      </c>
      <c r="I18" s="191" t="s">
        <v>46</v>
      </c>
      <c r="J18" s="192"/>
      <c r="K18" s="8" t="s">
        <v>217</v>
      </c>
      <c r="L18" s="8" t="s">
        <v>12</v>
      </c>
      <c r="M18" t="s">
        <v>180</v>
      </c>
      <c r="R18" s="32"/>
      <c r="S18" s="26"/>
    </row>
    <row r="19" spans="1:19" ht="15.75" x14ac:dyDescent="0.25">
      <c r="A19" s="2" t="s">
        <v>57</v>
      </c>
      <c r="B19" s="3">
        <f>B11-E17</f>
        <v>1270.0580000000004</v>
      </c>
      <c r="C19" s="1"/>
      <c r="D19" s="2" t="s">
        <v>1</v>
      </c>
      <c r="E19" s="2" t="s">
        <v>6</v>
      </c>
      <c r="G19" s="6">
        <v>42592</v>
      </c>
      <c r="H19" s="7">
        <v>500</v>
      </c>
      <c r="I19" s="191" t="s">
        <v>46</v>
      </c>
      <c r="J19" s="192"/>
      <c r="K19" s="8" t="s">
        <v>218</v>
      </c>
      <c r="L19" s="8" t="s">
        <v>12</v>
      </c>
      <c r="M19" t="s">
        <v>180</v>
      </c>
      <c r="R19" s="32"/>
      <c r="S19" s="26"/>
    </row>
    <row r="20" spans="1:19" ht="15.75" x14ac:dyDescent="0.25">
      <c r="A20" s="2" t="s">
        <v>12</v>
      </c>
      <c r="B20" s="3">
        <f>B11-E25</f>
        <v>2395.3980000000006</v>
      </c>
      <c r="C20" s="1"/>
      <c r="D20" s="5"/>
      <c r="E20" s="21"/>
      <c r="G20" s="6">
        <v>42594</v>
      </c>
      <c r="H20" s="7">
        <v>500</v>
      </c>
      <c r="I20" s="210" t="s">
        <v>189</v>
      </c>
      <c r="J20" s="210"/>
      <c r="K20" s="8" t="s">
        <v>222</v>
      </c>
      <c r="L20" s="8" t="s">
        <v>10</v>
      </c>
      <c r="R20" s="2" t="s">
        <v>23</v>
      </c>
      <c r="S20" s="21">
        <f>SUM(S2:S19)</f>
        <v>2835</v>
      </c>
    </row>
    <row r="21" spans="1:19" ht="15.75" x14ac:dyDescent="0.25">
      <c r="A21" s="2"/>
      <c r="B21" s="2"/>
      <c r="C21" s="1"/>
      <c r="D21" s="5"/>
      <c r="E21" s="21"/>
      <c r="G21" s="6">
        <v>42594</v>
      </c>
      <c r="H21" s="7">
        <v>500</v>
      </c>
      <c r="I21" s="210" t="s">
        <v>189</v>
      </c>
      <c r="J21" s="210"/>
      <c r="K21" s="8" t="s">
        <v>2225</v>
      </c>
      <c r="L21" s="8" t="s">
        <v>57</v>
      </c>
      <c r="M21" t="s">
        <v>180</v>
      </c>
    </row>
    <row r="22" spans="1:19" ht="15.75" x14ac:dyDescent="0.25">
      <c r="A22" s="2"/>
      <c r="B22" s="2"/>
      <c r="C22" s="1"/>
      <c r="D22" s="22"/>
      <c r="E22" s="21"/>
      <c r="G22" s="6">
        <v>42594</v>
      </c>
      <c r="H22" s="7">
        <v>1000</v>
      </c>
      <c r="I22" s="210" t="s">
        <v>223</v>
      </c>
      <c r="J22" s="210"/>
      <c r="K22" s="8" t="s">
        <v>224</v>
      </c>
      <c r="L22" s="8" t="s">
        <v>57</v>
      </c>
    </row>
    <row r="23" spans="1:19" ht="15.75" x14ac:dyDescent="0.25">
      <c r="A23" s="1"/>
      <c r="B23" s="1"/>
      <c r="C23" s="1"/>
      <c r="D23" s="22"/>
      <c r="E23" s="21"/>
      <c r="F23" s="1"/>
      <c r="G23" s="6" t="s">
        <v>23</v>
      </c>
      <c r="H23" s="193">
        <f>SUM(H3:H22)</f>
        <v>10190.560000000001</v>
      </c>
      <c r="I23" s="194"/>
      <c r="J23" s="194"/>
      <c r="K23" s="194"/>
      <c r="L23" s="195"/>
    </row>
    <row r="24" spans="1:19" ht="15.75" x14ac:dyDescent="0.25">
      <c r="A24" s="196" t="s">
        <v>226</v>
      </c>
      <c r="B24" s="196"/>
      <c r="C24" s="1"/>
      <c r="D24" s="22"/>
      <c r="E24" s="21"/>
      <c r="F24" s="1"/>
      <c r="G24" s="1"/>
      <c r="H24" s="1"/>
      <c r="I24" s="1"/>
      <c r="J24" s="1"/>
      <c r="K24" s="196" t="s">
        <v>226</v>
      </c>
      <c r="L24" s="196"/>
    </row>
    <row r="25" spans="1:19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80" t="s">
        <v>69</v>
      </c>
      <c r="H25" s="180"/>
      <c r="I25" s="180" t="s">
        <v>69</v>
      </c>
      <c r="J25" s="180"/>
      <c r="K25" s="180" t="s">
        <v>69</v>
      </c>
      <c r="L25" s="180"/>
    </row>
    <row r="26" spans="1:19" ht="15.75" x14ac:dyDescent="0.25">
      <c r="A26" s="1"/>
      <c r="B26" s="1"/>
      <c r="C26" s="1"/>
      <c r="D26" s="17"/>
      <c r="E26" s="17"/>
      <c r="F26" s="1"/>
      <c r="G26" s="180" t="s">
        <v>63</v>
      </c>
      <c r="H26" s="180"/>
      <c r="I26" s="180" t="s">
        <v>65</v>
      </c>
      <c r="J26" s="180"/>
      <c r="K26" s="180" t="s">
        <v>67</v>
      </c>
      <c r="L26" s="180"/>
    </row>
    <row r="27" spans="1:19" ht="18.75" x14ac:dyDescent="0.3">
      <c r="A27" s="17"/>
      <c r="B27" s="17"/>
      <c r="C27" s="17"/>
      <c r="D27" s="178"/>
      <c r="E27" s="178"/>
      <c r="F27" s="9"/>
      <c r="K27" s="180"/>
      <c r="L27" s="180"/>
    </row>
    <row r="28" spans="1:19" x14ac:dyDescent="0.25">
      <c r="A28" s="209" t="s">
        <v>210</v>
      </c>
      <c r="B28" s="209"/>
      <c r="C28" s="209"/>
      <c r="D28" s="209"/>
      <c r="E28" s="209"/>
      <c r="F28" s="209"/>
      <c r="K28" s="18"/>
      <c r="L28" s="18"/>
    </row>
    <row r="29" spans="1:19" x14ac:dyDescent="0.25">
      <c r="A29" s="209"/>
      <c r="B29" s="209"/>
      <c r="C29" s="209"/>
      <c r="D29" s="209"/>
      <c r="E29" s="209"/>
      <c r="F29" s="209"/>
      <c r="K29" s="18"/>
      <c r="L29" s="18"/>
    </row>
    <row r="30" spans="1:19" ht="18.75" x14ac:dyDescent="0.3">
      <c r="A30" s="209"/>
      <c r="B30" s="209"/>
      <c r="C30" s="209"/>
      <c r="D30" s="209"/>
      <c r="E30" s="209"/>
      <c r="F30" s="209"/>
      <c r="G30" s="199" t="s">
        <v>25</v>
      </c>
      <c r="H30" s="207"/>
      <c r="I30" s="207"/>
      <c r="J30" s="200"/>
      <c r="K30" s="180"/>
      <c r="L30" s="180"/>
    </row>
    <row r="31" spans="1:19" ht="15.75" x14ac:dyDescent="0.25">
      <c r="A31" s="17"/>
      <c r="B31" s="29"/>
      <c r="C31" s="29"/>
      <c r="D31" s="29"/>
      <c r="E31" s="20"/>
      <c r="F31" s="1"/>
      <c r="G31" s="2" t="s">
        <v>1</v>
      </c>
      <c r="H31" s="2" t="s">
        <v>6</v>
      </c>
      <c r="I31" s="182" t="s">
        <v>13</v>
      </c>
      <c r="J31" s="183"/>
      <c r="K31" s="180"/>
      <c r="L31" s="180"/>
    </row>
    <row r="32" spans="1:19" ht="15.75" x14ac:dyDescent="0.25">
      <c r="A32" s="178" t="s">
        <v>177</v>
      </c>
      <c r="B32" s="178"/>
      <c r="C32" s="178" t="s">
        <v>177</v>
      </c>
      <c r="D32" s="178"/>
      <c r="E32" s="178" t="s">
        <v>177</v>
      </c>
      <c r="F32" s="178"/>
      <c r="G32" s="6">
        <v>42565</v>
      </c>
      <c r="H32" s="7">
        <v>150</v>
      </c>
      <c r="I32" s="182" t="s">
        <v>154</v>
      </c>
      <c r="J32" s="183"/>
      <c r="K32" s="18"/>
      <c r="L32" s="18"/>
    </row>
    <row r="33" spans="1:12" ht="15.75" x14ac:dyDescent="0.25">
      <c r="A33" s="180" t="s">
        <v>63</v>
      </c>
      <c r="B33" s="180"/>
      <c r="C33" s="180" t="s">
        <v>65</v>
      </c>
      <c r="D33" s="180"/>
      <c r="E33" s="180" t="s">
        <v>67</v>
      </c>
      <c r="F33" s="206"/>
      <c r="G33" s="6">
        <v>42565</v>
      </c>
      <c r="H33" s="4">
        <v>54</v>
      </c>
      <c r="I33" s="182" t="s">
        <v>187</v>
      </c>
      <c r="J33" s="183"/>
      <c r="K33" s="18"/>
      <c r="L33" s="18"/>
    </row>
    <row r="34" spans="1:12" ht="15.75" x14ac:dyDescent="0.25">
      <c r="G34" s="6">
        <v>42565</v>
      </c>
      <c r="H34" s="3">
        <v>15.5</v>
      </c>
      <c r="I34" s="182" t="s">
        <v>200</v>
      </c>
      <c r="J34" s="183"/>
      <c r="K34" s="180"/>
      <c r="L34" s="180"/>
    </row>
    <row r="35" spans="1:12" ht="15.75" x14ac:dyDescent="0.25">
      <c r="G35" s="6">
        <v>42571</v>
      </c>
      <c r="H35" s="4">
        <v>28</v>
      </c>
      <c r="I35" s="182" t="s">
        <v>193</v>
      </c>
      <c r="J35" s="183"/>
      <c r="K35" s="180"/>
      <c r="L35" s="180"/>
    </row>
    <row r="36" spans="1:12" ht="15.75" x14ac:dyDescent="0.25">
      <c r="G36" s="6">
        <v>42571</v>
      </c>
      <c r="H36" s="4">
        <v>19</v>
      </c>
      <c r="I36" s="182" t="s">
        <v>195</v>
      </c>
      <c r="J36" s="183"/>
    </row>
    <row r="37" spans="1:12" ht="15.75" x14ac:dyDescent="0.25">
      <c r="G37" s="6">
        <v>42571</v>
      </c>
      <c r="H37" s="4">
        <v>50</v>
      </c>
      <c r="I37" s="182" t="s">
        <v>199</v>
      </c>
      <c r="J37" s="183"/>
    </row>
    <row r="38" spans="1:12" ht="15.75" x14ac:dyDescent="0.25">
      <c r="G38" s="6">
        <v>42572</v>
      </c>
      <c r="H38" s="4">
        <v>11</v>
      </c>
      <c r="I38" s="182" t="s">
        <v>194</v>
      </c>
      <c r="J38" s="183"/>
    </row>
    <row r="39" spans="1:12" ht="15.75" x14ac:dyDescent="0.25">
      <c r="G39" s="6">
        <v>42579</v>
      </c>
      <c r="H39" s="4">
        <v>40.5</v>
      </c>
      <c r="I39" s="182" t="s">
        <v>204</v>
      </c>
      <c r="J39" s="183"/>
    </row>
    <row r="40" spans="1:12" ht="15.75" x14ac:dyDescent="0.25">
      <c r="G40" s="6">
        <v>42583</v>
      </c>
      <c r="H40" s="4">
        <v>309.89999999999998</v>
      </c>
      <c r="I40" s="182" t="s">
        <v>209</v>
      </c>
      <c r="J40" s="183"/>
    </row>
    <row r="41" spans="1:12" ht="15.75" x14ac:dyDescent="0.25">
      <c r="G41" s="6">
        <v>42583</v>
      </c>
      <c r="H41" s="4">
        <v>10</v>
      </c>
      <c r="I41" s="182" t="s">
        <v>211</v>
      </c>
      <c r="J41" s="183"/>
    </row>
    <row r="42" spans="1:12" ht="15.75" x14ac:dyDescent="0.25">
      <c r="G42" s="6">
        <v>42583</v>
      </c>
      <c r="H42" s="35">
        <v>18</v>
      </c>
      <c r="I42" s="182" t="s">
        <v>212</v>
      </c>
      <c r="J42" s="183"/>
      <c r="K42" s="204" t="s">
        <v>227</v>
      </c>
      <c r="L42" s="205"/>
    </row>
    <row r="43" spans="1:12" ht="15.75" x14ac:dyDescent="0.25">
      <c r="G43" s="6">
        <v>42592</v>
      </c>
      <c r="H43" s="35">
        <v>1500</v>
      </c>
      <c r="I43" s="182" t="s">
        <v>173</v>
      </c>
      <c r="J43" s="183"/>
    </row>
    <row r="44" spans="1:12" ht="15.75" x14ac:dyDescent="0.25">
      <c r="G44" s="6"/>
      <c r="H44" s="35"/>
      <c r="I44" s="182"/>
      <c r="J44" s="183"/>
    </row>
    <row r="46" spans="1:12" x14ac:dyDescent="0.25">
      <c r="G46" s="180" t="s">
        <v>64</v>
      </c>
      <c r="H46" s="180"/>
      <c r="I46" s="180" t="s">
        <v>64</v>
      </c>
      <c r="J46" s="180"/>
      <c r="K46" s="180" t="s">
        <v>64</v>
      </c>
      <c r="L46" s="180"/>
    </row>
    <row r="47" spans="1:12" x14ac:dyDescent="0.25">
      <c r="G47" s="180" t="s">
        <v>63</v>
      </c>
      <c r="H47" s="180"/>
      <c r="I47" s="180" t="s">
        <v>65</v>
      </c>
      <c r="J47" s="180"/>
      <c r="K47" s="180" t="s">
        <v>67</v>
      </c>
      <c r="L47" s="180"/>
    </row>
  </sheetData>
  <mergeCells count="74">
    <mergeCell ref="G47:H47"/>
    <mergeCell ref="I47:J47"/>
    <mergeCell ref="I20:J20"/>
    <mergeCell ref="G46:H46"/>
    <mergeCell ref="I46:J46"/>
    <mergeCell ref="I38:J38"/>
    <mergeCell ref="I39:J39"/>
    <mergeCell ref="G25:H25"/>
    <mergeCell ref="I21:J21"/>
    <mergeCell ref="I35:J35"/>
    <mergeCell ref="I34:J34"/>
    <mergeCell ref="K47:L47"/>
    <mergeCell ref="K42:L42"/>
    <mergeCell ref="I44:J44"/>
    <mergeCell ref="I37:J37"/>
    <mergeCell ref="I36:J36"/>
    <mergeCell ref="K35:L35"/>
    <mergeCell ref="K46:L46"/>
    <mergeCell ref="I43:J43"/>
    <mergeCell ref="I40:J40"/>
    <mergeCell ref="I41:J41"/>
    <mergeCell ref="I42:J42"/>
    <mergeCell ref="E32:F32"/>
    <mergeCell ref="K27:L27"/>
    <mergeCell ref="A33:B33"/>
    <mergeCell ref="C33:D33"/>
    <mergeCell ref="E33:F33"/>
    <mergeCell ref="K34:L34"/>
    <mergeCell ref="A32:B32"/>
    <mergeCell ref="C32:D32"/>
    <mergeCell ref="A24:B24"/>
    <mergeCell ref="G30:J30"/>
    <mergeCell ref="D27:E27"/>
    <mergeCell ref="I33:J33"/>
    <mergeCell ref="A28:F30"/>
    <mergeCell ref="G26:H26"/>
    <mergeCell ref="I26:J26"/>
    <mergeCell ref="K24:L24"/>
    <mergeCell ref="K30:L30"/>
    <mergeCell ref="I31:J31"/>
    <mergeCell ref="K31:L31"/>
    <mergeCell ref="I32:J32"/>
    <mergeCell ref="I25:J25"/>
    <mergeCell ref="I18:J18"/>
    <mergeCell ref="I17:J17"/>
    <mergeCell ref="K25:L25"/>
    <mergeCell ref="K26:L26"/>
    <mergeCell ref="D18:E18"/>
    <mergeCell ref="H23:L23"/>
    <mergeCell ref="I19:J19"/>
    <mergeCell ref="I22:J22"/>
    <mergeCell ref="D10:E10"/>
    <mergeCell ref="I10:J10"/>
    <mergeCell ref="I11:J11"/>
    <mergeCell ref="I12:J12"/>
    <mergeCell ref="A17:B17"/>
    <mergeCell ref="I13:J13"/>
    <mergeCell ref="I14:J14"/>
    <mergeCell ref="I15:J15"/>
    <mergeCell ref="I16:J16"/>
    <mergeCell ref="I8:J8"/>
    <mergeCell ref="I9:J9"/>
    <mergeCell ref="A1:B1"/>
    <mergeCell ref="D1:E1"/>
    <mergeCell ref="G1:L1"/>
    <mergeCell ref="I4:J4"/>
    <mergeCell ref="I5:J5"/>
    <mergeCell ref="I6:J6"/>
    <mergeCell ref="I7:J7"/>
    <mergeCell ref="R1:S1"/>
    <mergeCell ref="A2:B2"/>
    <mergeCell ref="D2:E2"/>
    <mergeCell ref="I2:J2"/>
    <mergeCell ref="I3:J3"/>
  </mergeCells>
  <pageMargins left="0.59055118110236215" right="0.39370078740157483" top="0.39370078740157483" bottom="0.39370078740157483" header="0.31496062992125984" footer="0.31496062992125984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R47"/>
  <sheetViews>
    <sheetView topLeftCell="G1" workbookViewId="0">
      <selection activeCell="K12" sqref="K12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  <col min="17" max="17" width="13.85546875" customWidth="1"/>
    <col min="18" max="18" width="17.42578125" customWidth="1"/>
  </cols>
  <sheetData>
    <row r="1" spans="1:18" ht="18.75" x14ac:dyDescent="0.3">
      <c r="A1" s="184" t="s">
        <v>32</v>
      </c>
      <c r="B1" s="184"/>
      <c r="C1" s="10"/>
      <c r="D1" s="199" t="s">
        <v>55</v>
      </c>
      <c r="E1" s="200"/>
      <c r="G1" s="184" t="s">
        <v>231</v>
      </c>
      <c r="H1" s="184"/>
      <c r="I1" s="184"/>
      <c r="J1" s="184"/>
      <c r="K1" s="184"/>
      <c r="L1" s="184"/>
      <c r="Q1" s="202" t="s">
        <v>79</v>
      </c>
      <c r="R1" s="203"/>
    </row>
    <row r="2" spans="1:18" ht="18.75" x14ac:dyDescent="0.3">
      <c r="A2" s="184" t="s">
        <v>229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Q2" s="6">
        <v>42598</v>
      </c>
      <c r="R2" s="7">
        <v>900</v>
      </c>
    </row>
    <row r="3" spans="1:18" ht="15.75" x14ac:dyDescent="0.25">
      <c r="A3" s="2" t="s">
        <v>2</v>
      </c>
      <c r="B3" s="3">
        <f>H23</f>
        <v>8980</v>
      </c>
      <c r="C3" s="11"/>
      <c r="D3" s="2" t="s">
        <v>1</v>
      </c>
      <c r="E3" s="2" t="s">
        <v>6</v>
      </c>
      <c r="G3" s="6">
        <v>42597</v>
      </c>
      <c r="H3" s="7">
        <v>230</v>
      </c>
      <c r="I3" s="187" t="s">
        <v>234</v>
      </c>
      <c r="J3" s="188"/>
      <c r="K3" s="8" t="s">
        <v>166</v>
      </c>
      <c r="L3" s="8" t="s">
        <v>10</v>
      </c>
      <c r="M3" t="s">
        <v>240</v>
      </c>
      <c r="Q3" s="6">
        <v>42600</v>
      </c>
      <c r="R3" s="7">
        <v>1850</v>
      </c>
    </row>
    <row r="4" spans="1:18" ht="15.75" x14ac:dyDescent="0.25">
      <c r="A4" s="2" t="s">
        <v>3</v>
      </c>
      <c r="B4" s="3"/>
      <c r="C4" s="11"/>
      <c r="D4" s="5">
        <v>42607</v>
      </c>
      <c r="E4" s="21">
        <v>50</v>
      </c>
      <c r="G4" s="6">
        <v>42598</v>
      </c>
      <c r="H4" s="7">
        <v>500</v>
      </c>
      <c r="I4" s="187" t="s">
        <v>235</v>
      </c>
      <c r="J4" s="188"/>
      <c r="K4" s="8" t="s">
        <v>183</v>
      </c>
      <c r="L4" s="8" t="s">
        <v>10</v>
      </c>
      <c r="Q4" s="6">
        <v>42604</v>
      </c>
      <c r="R4" s="7">
        <v>3800</v>
      </c>
    </row>
    <row r="5" spans="1:18" ht="15.75" x14ac:dyDescent="0.25">
      <c r="A5" s="2" t="s">
        <v>4</v>
      </c>
      <c r="B5" s="3">
        <f>SUM(H32:H44)</f>
        <v>2297.27</v>
      </c>
      <c r="C5" s="11"/>
      <c r="D5" s="5">
        <v>42622</v>
      </c>
      <c r="E5" s="21">
        <v>150</v>
      </c>
      <c r="G5" s="6">
        <v>42598</v>
      </c>
      <c r="H5" s="7">
        <v>500</v>
      </c>
      <c r="I5" s="187" t="s">
        <v>236</v>
      </c>
      <c r="J5" s="188"/>
      <c r="K5" s="8" t="s">
        <v>237</v>
      </c>
      <c r="L5" s="8" t="s">
        <v>12</v>
      </c>
      <c r="Q5" s="6">
        <v>42611</v>
      </c>
      <c r="R5" s="7">
        <v>2950</v>
      </c>
    </row>
    <row r="6" spans="1:18" ht="15.75" x14ac:dyDescent="0.25">
      <c r="A6" s="2"/>
      <c r="B6" s="3"/>
      <c r="C6" s="11"/>
      <c r="D6" s="22"/>
      <c r="E6" s="21"/>
      <c r="G6" s="6">
        <v>42598</v>
      </c>
      <c r="H6" s="7">
        <v>200</v>
      </c>
      <c r="I6" s="187" t="s">
        <v>238</v>
      </c>
      <c r="J6" s="188"/>
      <c r="K6" s="8" t="s">
        <v>239</v>
      </c>
      <c r="L6" s="8" t="s">
        <v>10</v>
      </c>
      <c r="Q6" s="6">
        <v>42618</v>
      </c>
      <c r="R6" s="21">
        <v>3670</v>
      </c>
    </row>
    <row r="7" spans="1:18" ht="15.75" x14ac:dyDescent="0.25">
      <c r="A7" s="12" t="s">
        <v>5</v>
      </c>
      <c r="B7" s="25">
        <f>B3+B4-B5</f>
        <v>6682.73</v>
      </c>
      <c r="C7" s="11"/>
      <c r="D7" s="22"/>
      <c r="E7" s="21"/>
      <c r="G7" s="6">
        <v>42598</v>
      </c>
      <c r="H7" s="7">
        <v>500</v>
      </c>
      <c r="I7" s="187" t="s">
        <v>241</v>
      </c>
      <c r="J7" s="188"/>
      <c r="K7" s="8" t="s">
        <v>242</v>
      </c>
      <c r="L7" s="8" t="s">
        <v>12</v>
      </c>
      <c r="M7" t="s">
        <v>240</v>
      </c>
      <c r="Q7" s="6"/>
      <c r="R7" s="21"/>
    </row>
    <row r="8" spans="1:18" ht="15.75" x14ac:dyDescent="0.25">
      <c r="A8" s="2"/>
      <c r="B8" s="3"/>
      <c r="C8" s="11"/>
      <c r="D8" s="22"/>
      <c r="E8" s="21"/>
      <c r="G8" s="6">
        <v>42598</v>
      </c>
      <c r="H8" s="7">
        <v>500</v>
      </c>
      <c r="I8" s="191" t="s">
        <v>243</v>
      </c>
      <c r="J8" s="192"/>
      <c r="K8" s="8" t="s">
        <v>169</v>
      </c>
      <c r="L8" s="8" t="s">
        <v>10</v>
      </c>
      <c r="Q8" s="6"/>
      <c r="R8" s="21"/>
    </row>
    <row r="9" spans="1:18" ht="15.75" x14ac:dyDescent="0.25">
      <c r="A9" s="2" t="s">
        <v>14</v>
      </c>
      <c r="B9" s="3">
        <f>B7*0.1</f>
        <v>668.27300000000002</v>
      </c>
      <c r="C9" s="11"/>
      <c r="D9" s="23" t="s">
        <v>23</v>
      </c>
      <c r="E9" s="24">
        <f>SUM(E4:E8)</f>
        <v>200</v>
      </c>
      <c r="G9" s="6">
        <v>42598</v>
      </c>
      <c r="H9" s="7">
        <v>2000</v>
      </c>
      <c r="I9" s="191" t="s">
        <v>244</v>
      </c>
      <c r="J9" s="192"/>
      <c r="K9" s="8" t="s">
        <v>245</v>
      </c>
      <c r="L9" s="8" t="s">
        <v>57</v>
      </c>
      <c r="M9" t="s">
        <v>247</v>
      </c>
      <c r="Q9" s="6"/>
      <c r="R9" s="21"/>
    </row>
    <row r="10" spans="1:18" ht="15.75" x14ac:dyDescent="0.25">
      <c r="A10" s="2"/>
      <c r="B10" s="3"/>
      <c r="C10" s="11"/>
      <c r="D10" s="189" t="s">
        <v>11</v>
      </c>
      <c r="E10" s="190"/>
      <c r="G10" s="6">
        <v>42599</v>
      </c>
      <c r="H10" s="7">
        <v>550</v>
      </c>
      <c r="I10" s="191" t="s">
        <v>246</v>
      </c>
      <c r="J10" s="192"/>
      <c r="K10" s="8" t="s">
        <v>161</v>
      </c>
      <c r="L10" s="8" t="s">
        <v>57</v>
      </c>
      <c r="M10" t="s">
        <v>240</v>
      </c>
      <c r="Q10" s="6"/>
      <c r="R10" s="21"/>
    </row>
    <row r="11" spans="1:18" ht="15.75" x14ac:dyDescent="0.25">
      <c r="A11" s="2" t="s">
        <v>59</v>
      </c>
      <c r="B11" s="3">
        <f>(B7-B9)/3</f>
        <v>2004.8189999999997</v>
      </c>
      <c r="C11" s="11"/>
      <c r="D11" s="2" t="s">
        <v>1</v>
      </c>
      <c r="E11" s="2" t="s">
        <v>6</v>
      </c>
      <c r="G11" s="6">
        <v>42604</v>
      </c>
      <c r="H11" s="7">
        <v>200</v>
      </c>
      <c r="I11" s="191" t="s">
        <v>235</v>
      </c>
      <c r="J11" s="192"/>
      <c r="K11" s="8" t="s">
        <v>183</v>
      </c>
      <c r="L11" s="8" t="s">
        <v>10</v>
      </c>
      <c r="Q11" s="6"/>
      <c r="R11" s="21"/>
    </row>
    <row r="12" spans="1:18" ht="15.75" x14ac:dyDescent="0.25">
      <c r="A12" s="2"/>
      <c r="B12" s="3"/>
      <c r="C12" s="11"/>
      <c r="D12" s="5">
        <v>42608</v>
      </c>
      <c r="E12" s="21">
        <v>400</v>
      </c>
      <c r="G12" s="6">
        <v>42604</v>
      </c>
      <c r="H12" s="7">
        <v>2000</v>
      </c>
      <c r="I12" s="191" t="s">
        <v>258</v>
      </c>
      <c r="J12" s="192"/>
      <c r="K12" s="8" t="s">
        <v>253</v>
      </c>
      <c r="L12" s="8" t="s">
        <v>57</v>
      </c>
      <c r="Q12" s="6"/>
      <c r="R12" s="21"/>
    </row>
    <row r="13" spans="1:18" ht="15.75" x14ac:dyDescent="0.25">
      <c r="A13" s="2"/>
      <c r="B13" s="3"/>
      <c r="C13" s="11"/>
      <c r="D13" s="5">
        <v>42614</v>
      </c>
      <c r="E13" s="21">
        <v>112.34</v>
      </c>
      <c r="F13" t="s">
        <v>198</v>
      </c>
      <c r="G13" s="6">
        <v>42615</v>
      </c>
      <c r="H13" s="7">
        <v>500</v>
      </c>
      <c r="I13" s="191" t="s">
        <v>255</v>
      </c>
      <c r="J13" s="192"/>
      <c r="K13" s="8" t="s">
        <v>2267</v>
      </c>
      <c r="L13" s="8" t="s">
        <v>57</v>
      </c>
      <c r="Q13" s="32"/>
      <c r="R13" s="26"/>
    </row>
    <row r="14" spans="1:18" ht="15.75" x14ac:dyDescent="0.25">
      <c r="A14" s="2"/>
      <c r="B14" s="3"/>
      <c r="C14" s="11"/>
      <c r="D14" s="5"/>
      <c r="E14" s="21"/>
      <c r="G14" s="6">
        <v>42621</v>
      </c>
      <c r="H14" s="7">
        <v>500</v>
      </c>
      <c r="I14" s="191" t="s">
        <v>191</v>
      </c>
      <c r="J14" s="192"/>
      <c r="K14" s="8" t="s">
        <v>192</v>
      </c>
      <c r="L14" s="8" t="s">
        <v>57</v>
      </c>
      <c r="Q14" s="32"/>
      <c r="R14" s="26"/>
    </row>
    <row r="15" spans="1:18" ht="15.75" x14ac:dyDescent="0.25">
      <c r="A15" s="2"/>
      <c r="B15" s="3"/>
      <c r="C15" s="11"/>
      <c r="D15" s="22"/>
      <c r="E15" s="4"/>
      <c r="G15" s="6">
        <v>42621</v>
      </c>
      <c r="H15" s="7">
        <v>300</v>
      </c>
      <c r="I15" s="191" t="s">
        <v>256</v>
      </c>
      <c r="J15" s="192"/>
      <c r="K15" s="8" t="s">
        <v>2227</v>
      </c>
      <c r="L15" s="8" t="s">
        <v>57</v>
      </c>
      <c r="Q15" s="32"/>
      <c r="R15" s="26"/>
    </row>
    <row r="16" spans="1:18" ht="15.75" x14ac:dyDescent="0.25">
      <c r="A16" s="2"/>
      <c r="B16" s="2"/>
      <c r="C16" s="1"/>
      <c r="D16" s="22"/>
      <c r="E16" s="21"/>
      <c r="G16" s="6">
        <v>42621</v>
      </c>
      <c r="H16" s="7">
        <v>500</v>
      </c>
      <c r="I16" s="191" t="s">
        <v>257</v>
      </c>
      <c r="J16" s="192"/>
      <c r="K16" s="8" t="s">
        <v>237</v>
      </c>
      <c r="L16" s="8" t="s">
        <v>12</v>
      </c>
      <c r="Q16" s="32"/>
      <c r="R16" s="26"/>
    </row>
    <row r="17" spans="1:18" ht="15.75" x14ac:dyDescent="0.25">
      <c r="A17" s="198" t="s">
        <v>56</v>
      </c>
      <c r="B17" s="198"/>
      <c r="C17" s="1"/>
      <c r="D17" s="23" t="s">
        <v>23</v>
      </c>
      <c r="E17" s="24">
        <f>SUM(E12:E16)</f>
        <v>512.34</v>
      </c>
      <c r="G17" s="6"/>
      <c r="H17" s="7"/>
      <c r="I17" s="191"/>
      <c r="J17" s="192"/>
      <c r="K17" s="8"/>
      <c r="L17" s="8"/>
      <c r="Q17" s="32"/>
      <c r="R17" s="26"/>
    </row>
    <row r="18" spans="1:18" ht="15.75" x14ac:dyDescent="0.25">
      <c r="A18" s="2" t="s">
        <v>10</v>
      </c>
      <c r="B18" s="3">
        <f>B11-E9</f>
        <v>1804.8189999999997</v>
      </c>
      <c r="C18" s="1"/>
      <c r="D18" s="189" t="s">
        <v>12</v>
      </c>
      <c r="E18" s="190"/>
      <c r="G18" s="6"/>
      <c r="H18" s="7"/>
      <c r="I18" s="191"/>
      <c r="J18" s="192"/>
      <c r="K18" s="8"/>
      <c r="L18" s="8"/>
      <c r="Q18" s="32"/>
      <c r="R18" s="26"/>
    </row>
    <row r="19" spans="1:18" ht="15.75" x14ac:dyDescent="0.25">
      <c r="A19" s="2" t="s">
        <v>57</v>
      </c>
      <c r="B19" s="3">
        <f>B11-E17</f>
        <v>1492.4789999999998</v>
      </c>
      <c r="C19" s="1"/>
      <c r="D19" s="2" t="s">
        <v>1</v>
      </c>
      <c r="E19" s="2" t="s">
        <v>6</v>
      </c>
      <c r="G19" s="6"/>
      <c r="H19" s="7"/>
      <c r="I19" s="191"/>
      <c r="J19" s="192"/>
      <c r="K19" s="8"/>
      <c r="L19" s="8"/>
      <c r="Q19" s="32"/>
      <c r="R19" s="26"/>
    </row>
    <row r="20" spans="1:18" ht="15.75" x14ac:dyDescent="0.25">
      <c r="A20" s="2" t="s">
        <v>12</v>
      </c>
      <c r="B20" s="3">
        <f>B11-E25</f>
        <v>2004.8189999999997</v>
      </c>
      <c r="C20" s="1"/>
      <c r="D20" s="5"/>
      <c r="E20" s="21"/>
      <c r="G20" s="6"/>
      <c r="H20" s="7"/>
      <c r="I20" s="210"/>
      <c r="J20" s="210"/>
      <c r="K20" s="8"/>
      <c r="L20" s="8"/>
      <c r="Q20" s="2"/>
      <c r="R20" s="21"/>
    </row>
    <row r="21" spans="1:18" ht="15.75" x14ac:dyDescent="0.25">
      <c r="A21" s="2"/>
      <c r="B21" s="2"/>
      <c r="C21" s="1"/>
      <c r="D21" s="5"/>
      <c r="E21" s="21"/>
      <c r="G21" s="6"/>
      <c r="H21" s="7"/>
      <c r="I21" s="210"/>
      <c r="J21" s="210"/>
      <c r="K21" s="8"/>
      <c r="L21" s="8"/>
    </row>
    <row r="22" spans="1:18" ht="15.75" x14ac:dyDescent="0.25">
      <c r="A22" s="2"/>
      <c r="B22" s="2"/>
      <c r="C22" s="1"/>
      <c r="D22" s="22"/>
      <c r="E22" s="21"/>
      <c r="G22" s="6"/>
      <c r="H22" s="7"/>
      <c r="I22" s="210"/>
      <c r="J22" s="210"/>
      <c r="K22" s="8"/>
      <c r="L22" s="8"/>
    </row>
    <row r="23" spans="1:18" ht="15.75" x14ac:dyDescent="0.25">
      <c r="A23" s="1"/>
      <c r="B23" s="1"/>
      <c r="C23" s="1"/>
      <c r="D23" s="22"/>
      <c r="E23" s="21"/>
      <c r="F23" s="1"/>
      <c r="G23" s="6" t="s">
        <v>23</v>
      </c>
      <c r="H23" s="193">
        <f>SUM(H3:H22)</f>
        <v>8980</v>
      </c>
      <c r="I23" s="194"/>
      <c r="J23" s="194"/>
      <c r="K23" s="194"/>
      <c r="L23" s="195"/>
    </row>
    <row r="24" spans="1:18" ht="15.75" x14ac:dyDescent="0.25">
      <c r="A24" s="196" t="s">
        <v>230</v>
      </c>
      <c r="B24" s="196"/>
      <c r="C24" s="1"/>
      <c r="D24" s="22"/>
      <c r="E24" s="21"/>
      <c r="F24" s="1"/>
      <c r="G24" s="1"/>
      <c r="H24" s="1"/>
      <c r="I24" s="1"/>
      <c r="J24" s="1"/>
      <c r="K24" s="196" t="s">
        <v>230</v>
      </c>
      <c r="L24" s="196"/>
    </row>
    <row r="25" spans="1:18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80" t="s">
        <v>69</v>
      </c>
      <c r="H25" s="180"/>
      <c r="I25" s="180" t="s">
        <v>69</v>
      </c>
      <c r="J25" s="180"/>
      <c r="K25" s="180" t="s">
        <v>69</v>
      </c>
      <c r="L25" s="180"/>
    </row>
    <row r="26" spans="1:18" ht="15.75" x14ac:dyDescent="0.25">
      <c r="A26" s="1"/>
      <c r="B26" s="1"/>
      <c r="C26" s="1"/>
      <c r="D26" s="17"/>
      <c r="E26" s="17"/>
      <c r="F26" s="1"/>
      <c r="G26" s="180" t="s">
        <v>63</v>
      </c>
      <c r="H26" s="180"/>
      <c r="I26" s="180" t="s">
        <v>65</v>
      </c>
      <c r="J26" s="180"/>
      <c r="K26" s="180" t="s">
        <v>67</v>
      </c>
      <c r="L26" s="180"/>
    </row>
    <row r="27" spans="1:18" ht="18.75" x14ac:dyDescent="0.3">
      <c r="A27" s="17"/>
      <c r="B27" s="17"/>
      <c r="C27" s="17"/>
      <c r="D27" s="178"/>
      <c r="E27" s="178"/>
      <c r="F27" s="9"/>
      <c r="K27" s="180"/>
      <c r="L27" s="180"/>
    </row>
    <row r="28" spans="1:18" x14ac:dyDescent="0.25">
      <c r="A28" s="209" t="s">
        <v>233</v>
      </c>
      <c r="B28" s="209"/>
      <c r="C28" s="209"/>
      <c r="D28" s="209"/>
      <c r="E28" s="209"/>
      <c r="F28" s="209"/>
      <c r="K28" s="18"/>
      <c r="L28" s="18"/>
    </row>
    <row r="29" spans="1:18" x14ac:dyDescent="0.25">
      <c r="A29" s="209"/>
      <c r="B29" s="209"/>
      <c r="C29" s="209"/>
      <c r="D29" s="209"/>
      <c r="E29" s="209"/>
      <c r="F29" s="209"/>
      <c r="K29" s="18"/>
      <c r="L29" s="18"/>
    </row>
    <row r="30" spans="1:18" ht="18.75" x14ac:dyDescent="0.3">
      <c r="A30" s="209"/>
      <c r="B30" s="209"/>
      <c r="C30" s="209"/>
      <c r="D30" s="209"/>
      <c r="E30" s="209"/>
      <c r="F30" s="209"/>
      <c r="G30" s="199" t="s">
        <v>25</v>
      </c>
      <c r="H30" s="207"/>
      <c r="I30" s="207"/>
      <c r="J30" s="200"/>
      <c r="K30" s="180"/>
      <c r="L30" s="180"/>
    </row>
    <row r="31" spans="1:18" ht="15.75" x14ac:dyDescent="0.25">
      <c r="A31" s="17"/>
      <c r="B31" s="29"/>
      <c r="C31" s="29"/>
      <c r="D31" s="29"/>
      <c r="E31" s="20"/>
      <c r="F31" s="1"/>
      <c r="G31" s="2" t="s">
        <v>1</v>
      </c>
      <c r="H31" s="2" t="s">
        <v>6</v>
      </c>
      <c r="I31" s="182" t="s">
        <v>13</v>
      </c>
      <c r="J31" s="183"/>
      <c r="K31" s="180"/>
      <c r="L31" s="180"/>
    </row>
    <row r="32" spans="1:18" ht="15.75" x14ac:dyDescent="0.25">
      <c r="A32" s="178" t="s">
        <v>177</v>
      </c>
      <c r="B32" s="178"/>
      <c r="C32" s="178" t="s">
        <v>177</v>
      </c>
      <c r="D32" s="178"/>
      <c r="E32" s="178" t="s">
        <v>177</v>
      </c>
      <c r="F32" s="178"/>
      <c r="G32" s="6">
        <v>42600</v>
      </c>
      <c r="H32" s="7">
        <v>51.81</v>
      </c>
      <c r="I32" s="182" t="s">
        <v>248</v>
      </c>
      <c r="J32" s="183"/>
      <c r="K32" s="18"/>
      <c r="L32" s="18"/>
    </row>
    <row r="33" spans="1:12" ht="15.75" x14ac:dyDescent="0.25">
      <c r="A33" s="180" t="s">
        <v>63</v>
      </c>
      <c r="B33" s="180"/>
      <c r="C33" s="180" t="s">
        <v>65</v>
      </c>
      <c r="D33" s="180"/>
      <c r="E33" s="180" t="s">
        <v>67</v>
      </c>
      <c r="F33" s="206"/>
      <c r="G33" s="6">
        <v>42600</v>
      </c>
      <c r="H33" s="4">
        <v>17.5</v>
      </c>
      <c r="I33" s="182" t="s">
        <v>249</v>
      </c>
      <c r="J33" s="183"/>
      <c r="K33" s="18"/>
      <c r="L33" s="18"/>
    </row>
    <row r="34" spans="1:12" ht="15.75" x14ac:dyDescent="0.25">
      <c r="G34" s="6">
        <v>42601</v>
      </c>
      <c r="H34" s="3">
        <v>125.12</v>
      </c>
      <c r="I34" s="182" t="s">
        <v>250</v>
      </c>
      <c r="J34" s="183"/>
      <c r="K34" s="180"/>
      <c r="L34" s="180"/>
    </row>
    <row r="35" spans="1:12" ht="15.75" x14ac:dyDescent="0.25">
      <c r="G35" s="6">
        <v>42604</v>
      </c>
      <c r="H35" s="4">
        <v>121.43</v>
      </c>
      <c r="I35" s="182" t="s">
        <v>251</v>
      </c>
      <c r="J35" s="183"/>
      <c r="K35" s="180"/>
      <c r="L35" s="180"/>
    </row>
    <row r="36" spans="1:12" ht="15.75" x14ac:dyDescent="0.25">
      <c r="G36" s="6">
        <v>42605</v>
      </c>
      <c r="H36" s="4">
        <v>138.41</v>
      </c>
      <c r="I36" s="182" t="s">
        <v>252</v>
      </c>
      <c r="J36" s="183"/>
    </row>
    <row r="37" spans="1:12" ht="15.75" x14ac:dyDescent="0.25">
      <c r="G37" s="6">
        <v>42615</v>
      </c>
      <c r="H37" s="4">
        <v>50</v>
      </c>
      <c r="I37" s="182" t="s">
        <v>254</v>
      </c>
      <c r="J37" s="183"/>
    </row>
    <row r="38" spans="1:12" ht="15.75" x14ac:dyDescent="0.25">
      <c r="G38" s="6">
        <v>42615</v>
      </c>
      <c r="H38" s="4">
        <v>293</v>
      </c>
      <c r="I38" s="182" t="s">
        <v>163</v>
      </c>
      <c r="J38" s="183"/>
    </row>
    <row r="39" spans="1:12" ht="15.75" x14ac:dyDescent="0.25">
      <c r="G39" s="6">
        <v>42625</v>
      </c>
      <c r="H39" s="4">
        <v>1500</v>
      </c>
      <c r="I39" s="182" t="s">
        <v>173</v>
      </c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35"/>
      <c r="I42" s="182"/>
      <c r="J42" s="183"/>
      <c r="K42" s="204" t="s">
        <v>232</v>
      </c>
      <c r="L42" s="205"/>
    </row>
    <row r="43" spans="1:12" ht="15.75" x14ac:dyDescent="0.25">
      <c r="G43" s="6"/>
      <c r="H43" s="35"/>
      <c r="I43" s="182"/>
      <c r="J43" s="183"/>
    </row>
    <row r="44" spans="1:12" ht="15.75" x14ac:dyDescent="0.25">
      <c r="G44" s="6"/>
      <c r="H44" s="35"/>
      <c r="I44" s="182"/>
      <c r="J44" s="183"/>
    </row>
    <row r="46" spans="1:12" x14ac:dyDescent="0.25">
      <c r="G46" s="180" t="s">
        <v>64</v>
      </c>
      <c r="H46" s="180"/>
      <c r="I46" s="180" t="s">
        <v>64</v>
      </c>
      <c r="J46" s="180"/>
      <c r="K46" s="180" t="s">
        <v>64</v>
      </c>
      <c r="L46" s="180"/>
    </row>
    <row r="47" spans="1:12" x14ac:dyDescent="0.25">
      <c r="G47" s="180" t="s">
        <v>63</v>
      </c>
      <c r="H47" s="180"/>
      <c r="I47" s="180" t="s">
        <v>65</v>
      </c>
      <c r="J47" s="180"/>
      <c r="K47" s="180" t="s">
        <v>67</v>
      </c>
      <c r="L47" s="180"/>
    </row>
  </sheetData>
  <mergeCells count="74">
    <mergeCell ref="Q1:R1"/>
    <mergeCell ref="I43:J43"/>
    <mergeCell ref="I44:J44"/>
    <mergeCell ref="G46:H46"/>
    <mergeCell ref="I46:J46"/>
    <mergeCell ref="K46:L46"/>
    <mergeCell ref="I34:J34"/>
    <mergeCell ref="K34:L34"/>
    <mergeCell ref="I35:J35"/>
    <mergeCell ref="K35:L35"/>
    <mergeCell ref="I36:J36"/>
    <mergeCell ref="I37:J37"/>
    <mergeCell ref="I31:J31"/>
    <mergeCell ref="K31:L31"/>
    <mergeCell ref="G25:H25"/>
    <mergeCell ref="I25:J25"/>
    <mergeCell ref="G47:H47"/>
    <mergeCell ref="I47:J47"/>
    <mergeCell ref="K47:L47"/>
    <mergeCell ref="I38:J38"/>
    <mergeCell ref="I39:J39"/>
    <mergeCell ref="I40:J40"/>
    <mergeCell ref="I41:J41"/>
    <mergeCell ref="I42:J42"/>
    <mergeCell ref="K42:L42"/>
    <mergeCell ref="A32:B32"/>
    <mergeCell ref="C32:D32"/>
    <mergeCell ref="E32:F32"/>
    <mergeCell ref="I32:J32"/>
    <mergeCell ref="A33:B33"/>
    <mergeCell ref="C33:D33"/>
    <mergeCell ref="E33:F33"/>
    <mergeCell ref="I33:J33"/>
    <mergeCell ref="D27:E27"/>
    <mergeCell ref="K27:L27"/>
    <mergeCell ref="A28:F30"/>
    <mergeCell ref="G30:J30"/>
    <mergeCell ref="K30:L30"/>
    <mergeCell ref="K25:L25"/>
    <mergeCell ref="A24:B24"/>
    <mergeCell ref="D18:E18"/>
    <mergeCell ref="I18:J18"/>
    <mergeCell ref="G26:H26"/>
    <mergeCell ref="I26:J26"/>
    <mergeCell ref="K26:L26"/>
    <mergeCell ref="I19:J19"/>
    <mergeCell ref="I20:J20"/>
    <mergeCell ref="I21:J21"/>
    <mergeCell ref="I22:J22"/>
    <mergeCell ref="H23:L23"/>
    <mergeCell ref="K24:L24"/>
    <mergeCell ref="I8:J8"/>
    <mergeCell ref="I9:J9"/>
    <mergeCell ref="I15:J15"/>
    <mergeCell ref="I16:J16"/>
    <mergeCell ref="A17:B17"/>
    <mergeCell ref="I17:J17"/>
    <mergeCell ref="D10:E10"/>
    <mergeCell ref="I10:J10"/>
    <mergeCell ref="I11:J11"/>
    <mergeCell ref="I12:J12"/>
    <mergeCell ref="I14:J14"/>
    <mergeCell ref="I13:J13"/>
    <mergeCell ref="I3:J3"/>
    <mergeCell ref="I4:J4"/>
    <mergeCell ref="I5:J5"/>
    <mergeCell ref="I6:J6"/>
    <mergeCell ref="I7:J7"/>
    <mergeCell ref="A1:B1"/>
    <mergeCell ref="D1:E1"/>
    <mergeCell ref="G1:L1"/>
    <mergeCell ref="A2:B2"/>
    <mergeCell ref="D2:E2"/>
    <mergeCell ref="I2:J2"/>
  </mergeCells>
  <pageMargins left="0.59055118110236215" right="0.39370078740157483" top="0.39370078740157483" bottom="0.39370078740157483" header="0.31496062992125984" footer="0.31496062992125984"/>
  <pageSetup paperSize="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47"/>
  <sheetViews>
    <sheetView topLeftCell="F1"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  <col min="17" max="17" width="13.85546875" customWidth="1"/>
    <col min="18" max="18" width="17.42578125" customWidth="1"/>
  </cols>
  <sheetData>
    <row r="1" spans="1:18" ht="18.75" x14ac:dyDescent="0.3">
      <c r="A1" s="184" t="s">
        <v>259</v>
      </c>
      <c r="B1" s="184"/>
      <c r="C1" s="10"/>
      <c r="D1" s="199" t="s">
        <v>55</v>
      </c>
      <c r="E1" s="200"/>
      <c r="G1" s="184" t="s">
        <v>260</v>
      </c>
      <c r="H1" s="184"/>
      <c r="I1" s="184"/>
      <c r="J1" s="184"/>
      <c r="K1" s="184"/>
      <c r="L1" s="184"/>
      <c r="Q1" s="202" t="s">
        <v>79</v>
      </c>
      <c r="R1" s="203"/>
    </row>
    <row r="2" spans="1:18" ht="18.75" x14ac:dyDescent="0.3">
      <c r="A2" s="184" t="s">
        <v>281</v>
      </c>
      <c r="B2" s="184"/>
      <c r="C2" s="10"/>
      <c r="D2" s="189" t="s">
        <v>10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Q2" s="6">
        <v>42626</v>
      </c>
      <c r="R2" s="7">
        <v>840</v>
      </c>
    </row>
    <row r="3" spans="1:18" ht="15.75" x14ac:dyDescent="0.25">
      <c r="A3" s="2" t="s">
        <v>2</v>
      </c>
      <c r="B3" s="3">
        <f>H23</f>
        <v>5559</v>
      </c>
      <c r="C3" s="11"/>
      <c r="D3" s="2" t="s">
        <v>1</v>
      </c>
      <c r="E3" s="2" t="s">
        <v>6</v>
      </c>
      <c r="G3" s="6">
        <v>42622</v>
      </c>
      <c r="H3" s="7">
        <v>500</v>
      </c>
      <c r="I3" s="187" t="s">
        <v>46</v>
      </c>
      <c r="J3" s="188"/>
      <c r="K3" s="8" t="s">
        <v>217</v>
      </c>
      <c r="L3" s="8" t="s">
        <v>268</v>
      </c>
      <c r="Q3" s="6">
        <v>42636</v>
      </c>
      <c r="R3" s="7">
        <v>1240</v>
      </c>
    </row>
    <row r="4" spans="1:18" ht="15.75" x14ac:dyDescent="0.25">
      <c r="A4" s="2" t="s">
        <v>3</v>
      </c>
      <c r="B4" s="3"/>
      <c r="C4" s="11"/>
      <c r="D4" s="5">
        <v>42635</v>
      </c>
      <c r="E4" s="21">
        <v>24</v>
      </c>
      <c r="G4" s="6">
        <v>42625</v>
      </c>
      <c r="H4" s="7">
        <v>500</v>
      </c>
      <c r="I4" s="187" t="s">
        <v>266</v>
      </c>
      <c r="J4" s="188"/>
      <c r="K4" s="8" t="s">
        <v>2225</v>
      </c>
      <c r="L4" s="8" t="s">
        <v>267</v>
      </c>
      <c r="Q4" s="6"/>
      <c r="R4" s="7"/>
    </row>
    <row r="5" spans="1:18" ht="15.75" x14ac:dyDescent="0.25">
      <c r="A5" s="2" t="s">
        <v>4</v>
      </c>
      <c r="B5" s="3">
        <f>SUM(H32:H44)</f>
        <v>1891.01</v>
      </c>
      <c r="C5" s="11"/>
      <c r="D5" s="5">
        <v>42650</v>
      </c>
      <c r="E5" s="21">
        <v>200</v>
      </c>
      <c r="G5" s="6">
        <v>42626</v>
      </c>
      <c r="H5" s="7">
        <v>500</v>
      </c>
      <c r="I5" s="36" t="s">
        <v>98</v>
      </c>
      <c r="J5" s="37"/>
      <c r="K5" s="8" t="s">
        <v>222</v>
      </c>
      <c r="L5" s="8" t="s">
        <v>167</v>
      </c>
      <c r="Q5" s="6"/>
      <c r="R5" s="7"/>
    </row>
    <row r="6" spans="1:18" ht="15.75" x14ac:dyDescent="0.25">
      <c r="A6" s="2"/>
      <c r="B6" s="3"/>
      <c r="C6" s="11"/>
      <c r="D6" s="22"/>
      <c r="E6" s="21"/>
      <c r="G6" s="6">
        <v>42626</v>
      </c>
      <c r="H6" s="7">
        <v>300</v>
      </c>
      <c r="I6" s="36" t="s">
        <v>263</v>
      </c>
      <c r="J6" s="37"/>
      <c r="K6" s="8" t="s">
        <v>264</v>
      </c>
      <c r="L6" s="8" t="s">
        <v>167</v>
      </c>
      <c r="Q6" s="6"/>
      <c r="R6" s="21"/>
    </row>
    <row r="7" spans="1:18" ht="15.75" x14ac:dyDescent="0.25">
      <c r="A7" s="12" t="s">
        <v>5</v>
      </c>
      <c r="B7" s="25">
        <f>B3+B4-B5</f>
        <v>3667.99</v>
      </c>
      <c r="C7" s="11"/>
      <c r="D7" s="22"/>
      <c r="E7" s="21"/>
      <c r="G7" s="6">
        <v>42629</v>
      </c>
      <c r="H7" s="7">
        <v>500</v>
      </c>
      <c r="I7" s="187" t="s">
        <v>269</v>
      </c>
      <c r="J7" s="188"/>
      <c r="K7" s="8" t="s">
        <v>142</v>
      </c>
      <c r="L7" s="8" t="s">
        <v>268</v>
      </c>
      <c r="Q7" s="6"/>
      <c r="R7" s="21"/>
    </row>
    <row r="8" spans="1:18" ht="15.75" x14ac:dyDescent="0.25">
      <c r="A8" s="2"/>
      <c r="B8" s="3"/>
      <c r="C8" s="11"/>
      <c r="D8" s="22"/>
      <c r="E8" s="21"/>
      <c r="G8" s="6">
        <v>42635</v>
      </c>
      <c r="H8" s="7">
        <v>200</v>
      </c>
      <c r="I8" s="191" t="s">
        <v>270</v>
      </c>
      <c r="J8" s="192"/>
      <c r="K8" s="8" t="s">
        <v>239</v>
      </c>
      <c r="L8" s="8" t="s">
        <v>167</v>
      </c>
      <c r="Q8" s="6"/>
      <c r="R8" s="21"/>
    </row>
    <row r="9" spans="1:18" ht="15.75" x14ac:dyDescent="0.25">
      <c r="A9" s="2" t="s">
        <v>14</v>
      </c>
      <c r="B9" s="3">
        <f>B7*0.1</f>
        <v>366.79899999999998</v>
      </c>
      <c r="C9" s="11"/>
      <c r="D9" s="23" t="s">
        <v>23</v>
      </c>
      <c r="E9" s="24">
        <f>SUM(E4:E8)</f>
        <v>224</v>
      </c>
      <c r="G9" s="6">
        <v>42635</v>
      </c>
      <c r="H9" s="7">
        <v>230</v>
      </c>
      <c r="I9" s="191" t="s">
        <v>270</v>
      </c>
      <c r="J9" s="192"/>
      <c r="K9" s="8" t="s">
        <v>271</v>
      </c>
      <c r="L9" s="8" t="s">
        <v>167</v>
      </c>
      <c r="Q9" s="6"/>
      <c r="R9" s="21"/>
    </row>
    <row r="10" spans="1:18" ht="15.75" x14ac:dyDescent="0.25">
      <c r="A10" s="2"/>
      <c r="B10" s="3"/>
      <c r="C10" s="11"/>
      <c r="D10" s="189" t="s">
        <v>11</v>
      </c>
      <c r="E10" s="190"/>
      <c r="G10" s="6">
        <v>42650</v>
      </c>
      <c r="H10" s="7">
        <v>500</v>
      </c>
      <c r="I10" s="191" t="s">
        <v>275</v>
      </c>
      <c r="J10" s="192"/>
      <c r="K10" s="8" t="s">
        <v>169</v>
      </c>
      <c r="L10" s="8" t="s">
        <v>167</v>
      </c>
      <c r="Q10" s="6"/>
      <c r="R10" s="21"/>
    </row>
    <row r="11" spans="1:18" ht="15.75" x14ac:dyDescent="0.25">
      <c r="A11" s="2" t="s">
        <v>59</v>
      </c>
      <c r="B11" s="3">
        <f>(B7-B9)/3</f>
        <v>1100.3969999999999</v>
      </c>
      <c r="C11" s="11"/>
      <c r="D11" s="2" t="s">
        <v>1</v>
      </c>
      <c r="E11" s="2" t="s">
        <v>6</v>
      </c>
      <c r="G11" s="6">
        <v>42647</v>
      </c>
      <c r="H11" s="7">
        <v>500</v>
      </c>
      <c r="I11" s="191" t="s">
        <v>280</v>
      </c>
      <c r="J11" s="192"/>
      <c r="K11" s="38" t="s">
        <v>2267</v>
      </c>
      <c r="L11" s="8" t="s">
        <v>267</v>
      </c>
      <c r="Q11" s="6"/>
      <c r="R11" s="21"/>
    </row>
    <row r="12" spans="1:18" ht="15.75" x14ac:dyDescent="0.25">
      <c r="A12" s="2"/>
      <c r="B12" s="3"/>
      <c r="C12" s="11"/>
      <c r="D12" s="5">
        <v>42640</v>
      </c>
      <c r="E12" s="21">
        <v>114.59</v>
      </c>
      <c r="F12" t="s">
        <v>198</v>
      </c>
      <c r="G12" s="6">
        <v>42653</v>
      </c>
      <c r="H12" s="7">
        <v>679</v>
      </c>
      <c r="I12" s="191" t="s">
        <v>277</v>
      </c>
      <c r="J12" s="192"/>
      <c r="K12" s="38" t="s">
        <v>276</v>
      </c>
      <c r="L12" s="39" t="s">
        <v>267</v>
      </c>
      <c r="Q12" s="6"/>
      <c r="R12" s="21"/>
    </row>
    <row r="13" spans="1:18" ht="15.75" x14ac:dyDescent="0.25">
      <c r="A13" s="2"/>
      <c r="B13" s="3"/>
      <c r="C13" s="11"/>
      <c r="D13" s="5">
        <v>42650</v>
      </c>
      <c r="E13" s="21">
        <v>200</v>
      </c>
      <c r="F13" t="s">
        <v>274</v>
      </c>
      <c r="G13" s="6">
        <v>42653</v>
      </c>
      <c r="H13" s="7">
        <v>1000</v>
      </c>
      <c r="I13" s="191" t="s">
        <v>278</v>
      </c>
      <c r="J13" s="192"/>
      <c r="K13" s="8" t="s">
        <v>245</v>
      </c>
      <c r="L13" s="8" t="s">
        <v>267</v>
      </c>
      <c r="Q13" s="32"/>
      <c r="R13" s="26"/>
    </row>
    <row r="14" spans="1:18" ht="15.75" x14ac:dyDescent="0.25">
      <c r="A14" s="2"/>
      <c r="B14" s="3"/>
      <c r="C14" s="11"/>
      <c r="D14" s="5">
        <v>42653</v>
      </c>
      <c r="E14" s="21">
        <v>50</v>
      </c>
      <c r="G14" s="6">
        <v>42653</v>
      </c>
      <c r="H14" s="7">
        <v>150</v>
      </c>
      <c r="I14" s="191" t="s">
        <v>279</v>
      </c>
      <c r="J14" s="192"/>
      <c r="K14" s="8" t="s">
        <v>2278</v>
      </c>
      <c r="L14" s="8" t="s">
        <v>267</v>
      </c>
      <c r="Q14" s="32"/>
      <c r="R14" s="26"/>
    </row>
    <row r="15" spans="1:18" ht="15.75" x14ac:dyDescent="0.25">
      <c r="A15" s="2"/>
      <c r="B15" s="3"/>
      <c r="C15" s="11"/>
      <c r="D15" s="22"/>
      <c r="E15" s="4"/>
      <c r="G15" s="6"/>
      <c r="H15" s="7"/>
      <c r="I15" s="191"/>
      <c r="J15" s="192"/>
      <c r="K15" s="8"/>
      <c r="L15" s="8"/>
      <c r="Q15" s="32"/>
      <c r="R15" s="26"/>
    </row>
    <row r="16" spans="1:18" ht="15.75" x14ac:dyDescent="0.25">
      <c r="A16" s="2"/>
      <c r="B16" s="2"/>
      <c r="C16" s="1"/>
      <c r="D16" s="22"/>
      <c r="E16" s="21"/>
      <c r="G16" s="6"/>
      <c r="H16" s="7"/>
      <c r="I16" s="191"/>
      <c r="J16" s="192"/>
      <c r="K16" s="8"/>
      <c r="L16" s="8"/>
      <c r="Q16" s="32"/>
      <c r="R16" s="26"/>
    </row>
    <row r="17" spans="1:18" ht="15.75" x14ac:dyDescent="0.25">
      <c r="A17" s="198" t="s">
        <v>56</v>
      </c>
      <c r="B17" s="198"/>
      <c r="C17" s="1"/>
      <c r="D17" s="23" t="s">
        <v>23</v>
      </c>
      <c r="E17" s="24">
        <f>SUM(E12:E16)</f>
        <v>364.59000000000003</v>
      </c>
      <c r="G17" s="6"/>
      <c r="H17" s="7"/>
      <c r="I17" s="191"/>
      <c r="J17" s="192"/>
      <c r="K17" s="8"/>
      <c r="L17" s="8"/>
      <c r="Q17" s="32"/>
      <c r="R17" s="26"/>
    </row>
    <row r="18" spans="1:18" ht="15.75" x14ac:dyDescent="0.25">
      <c r="A18" s="2" t="s">
        <v>10</v>
      </c>
      <c r="B18" s="3">
        <f>B11-E9</f>
        <v>876.39699999999993</v>
      </c>
      <c r="C18" s="1"/>
      <c r="D18" s="189" t="s">
        <v>12</v>
      </c>
      <c r="E18" s="190"/>
      <c r="G18" s="6"/>
      <c r="H18" s="7"/>
      <c r="I18" s="191"/>
      <c r="J18" s="192"/>
      <c r="K18" s="8"/>
      <c r="L18" s="8"/>
      <c r="Q18" s="32"/>
      <c r="R18" s="26"/>
    </row>
    <row r="19" spans="1:18" ht="15.75" x14ac:dyDescent="0.25">
      <c r="A19" s="2" t="s">
        <v>57</v>
      </c>
      <c r="B19" s="3">
        <f>B11-E17</f>
        <v>735.8069999999999</v>
      </c>
      <c r="C19" s="1"/>
      <c r="D19" s="2" t="s">
        <v>1</v>
      </c>
      <c r="E19" s="2" t="s">
        <v>6</v>
      </c>
      <c r="G19" s="6"/>
      <c r="H19" s="7"/>
      <c r="I19" s="191"/>
      <c r="J19" s="192"/>
      <c r="K19" s="8"/>
      <c r="L19" s="8"/>
      <c r="Q19" s="32"/>
      <c r="R19" s="26"/>
    </row>
    <row r="20" spans="1:18" ht="15.75" x14ac:dyDescent="0.25">
      <c r="A20" s="2" t="s">
        <v>12</v>
      </c>
      <c r="B20" s="3">
        <f>B11-E25</f>
        <v>1100.3969999999999</v>
      </c>
      <c r="C20" s="1"/>
      <c r="D20" s="5"/>
      <c r="E20" s="21"/>
      <c r="G20" s="6"/>
      <c r="H20" s="7"/>
      <c r="I20" s="210"/>
      <c r="J20" s="210"/>
      <c r="K20" s="8"/>
      <c r="L20" s="8"/>
      <c r="Q20" s="2"/>
      <c r="R20" s="21"/>
    </row>
    <row r="21" spans="1:18" ht="15.75" x14ac:dyDescent="0.25">
      <c r="A21" s="2"/>
      <c r="B21" s="2"/>
      <c r="C21" s="1"/>
      <c r="D21" s="5"/>
      <c r="E21" s="21"/>
      <c r="G21" s="6"/>
      <c r="H21" s="7"/>
      <c r="I21" s="210"/>
      <c r="J21" s="210"/>
      <c r="K21" s="8"/>
      <c r="L21" s="8"/>
    </row>
    <row r="22" spans="1:18" ht="15.75" x14ac:dyDescent="0.25">
      <c r="A22" s="2"/>
      <c r="B22" s="2"/>
      <c r="C22" s="1"/>
      <c r="D22" s="22"/>
      <c r="E22" s="21"/>
      <c r="G22" s="6"/>
      <c r="H22" s="7"/>
      <c r="I22" s="210"/>
      <c r="J22" s="210"/>
      <c r="K22" s="8"/>
      <c r="L22" s="8"/>
    </row>
    <row r="23" spans="1:18" ht="15.75" x14ac:dyDescent="0.25">
      <c r="A23" s="1"/>
      <c r="B23" s="1"/>
      <c r="C23" s="1"/>
      <c r="D23" s="22"/>
      <c r="E23" s="21"/>
      <c r="F23" s="1"/>
      <c r="G23" s="6" t="s">
        <v>23</v>
      </c>
      <c r="H23" s="193">
        <f>SUM(H3:H22)</f>
        <v>5559</v>
      </c>
      <c r="I23" s="194"/>
      <c r="J23" s="194"/>
      <c r="K23" s="194"/>
      <c r="L23" s="195"/>
    </row>
    <row r="24" spans="1:18" ht="15.75" x14ac:dyDescent="0.25">
      <c r="A24" s="196" t="s">
        <v>282</v>
      </c>
      <c r="B24" s="196"/>
      <c r="C24" s="1"/>
      <c r="D24" s="22"/>
      <c r="E24" s="21"/>
      <c r="F24" s="1"/>
      <c r="G24" s="1"/>
      <c r="H24" s="1"/>
      <c r="I24" s="1"/>
      <c r="J24" s="1"/>
      <c r="K24" s="196" t="s">
        <v>282</v>
      </c>
      <c r="L24" s="196"/>
    </row>
    <row r="25" spans="1:18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80" t="s">
        <v>69</v>
      </c>
      <c r="H25" s="180"/>
      <c r="I25" s="180" t="s">
        <v>69</v>
      </c>
      <c r="J25" s="180"/>
      <c r="K25" s="180" t="s">
        <v>69</v>
      </c>
      <c r="L25" s="180"/>
    </row>
    <row r="26" spans="1:18" ht="15.75" x14ac:dyDescent="0.25">
      <c r="A26" s="1"/>
      <c r="B26" s="1"/>
      <c r="C26" s="1"/>
      <c r="D26" s="17"/>
      <c r="E26" s="17"/>
      <c r="F26" s="1"/>
      <c r="G26" s="180" t="s">
        <v>63</v>
      </c>
      <c r="H26" s="180"/>
      <c r="I26" s="180" t="s">
        <v>65</v>
      </c>
      <c r="J26" s="180"/>
      <c r="K26" s="180" t="s">
        <v>67</v>
      </c>
      <c r="L26" s="180"/>
    </row>
    <row r="27" spans="1:18" ht="18.75" x14ac:dyDescent="0.3">
      <c r="A27" s="17"/>
      <c r="B27" s="17"/>
      <c r="C27" s="17"/>
      <c r="D27" s="178"/>
      <c r="E27" s="178"/>
      <c r="F27" s="9"/>
      <c r="K27" s="180"/>
      <c r="L27" s="180"/>
    </row>
    <row r="28" spans="1:18" x14ac:dyDescent="0.25">
      <c r="A28" s="209" t="s">
        <v>261</v>
      </c>
      <c r="B28" s="209"/>
      <c r="C28" s="209"/>
      <c r="D28" s="209"/>
      <c r="E28" s="209"/>
      <c r="F28" s="209"/>
      <c r="K28" s="18"/>
      <c r="L28" s="18"/>
    </row>
    <row r="29" spans="1:18" x14ac:dyDescent="0.25">
      <c r="A29" s="209"/>
      <c r="B29" s="209"/>
      <c r="C29" s="209"/>
      <c r="D29" s="209"/>
      <c r="E29" s="209"/>
      <c r="F29" s="209"/>
      <c r="K29" s="18"/>
      <c r="L29" s="18"/>
    </row>
    <row r="30" spans="1:18" ht="18.75" x14ac:dyDescent="0.3">
      <c r="A30" s="209"/>
      <c r="B30" s="209"/>
      <c r="C30" s="209"/>
      <c r="D30" s="209"/>
      <c r="E30" s="209"/>
      <c r="F30" s="209"/>
      <c r="G30" s="199" t="s">
        <v>25</v>
      </c>
      <c r="H30" s="207"/>
      <c r="I30" s="207"/>
      <c r="J30" s="200"/>
      <c r="K30" s="180"/>
      <c r="L30" s="180"/>
    </row>
    <row r="31" spans="1:18" ht="15.75" x14ac:dyDescent="0.25">
      <c r="A31" s="17"/>
      <c r="B31" s="29"/>
      <c r="C31" s="29"/>
      <c r="D31" s="29"/>
      <c r="E31" s="20"/>
      <c r="F31" s="1"/>
      <c r="G31" s="2" t="s">
        <v>1</v>
      </c>
      <c r="H31" s="2" t="s">
        <v>6</v>
      </c>
      <c r="I31" s="182" t="s">
        <v>13</v>
      </c>
      <c r="J31" s="183"/>
      <c r="K31" s="180"/>
      <c r="L31" s="180"/>
    </row>
    <row r="32" spans="1:18" ht="15.75" x14ac:dyDescent="0.25">
      <c r="A32" s="178" t="s">
        <v>177</v>
      </c>
      <c r="B32" s="178"/>
      <c r="C32" s="178" t="s">
        <v>177</v>
      </c>
      <c r="D32" s="178"/>
      <c r="E32" s="178" t="s">
        <v>177</v>
      </c>
      <c r="F32" s="178"/>
      <c r="G32" s="6">
        <v>42625</v>
      </c>
      <c r="H32" s="7">
        <v>140.41</v>
      </c>
      <c r="I32" s="182" t="s">
        <v>262</v>
      </c>
      <c r="J32" s="183"/>
      <c r="K32" s="18"/>
      <c r="L32" s="18"/>
    </row>
    <row r="33" spans="1:12" ht="15.75" x14ac:dyDescent="0.25">
      <c r="A33" s="180" t="s">
        <v>63</v>
      </c>
      <c r="B33" s="180"/>
      <c r="C33" s="180" t="s">
        <v>65</v>
      </c>
      <c r="D33" s="180"/>
      <c r="E33" s="180" t="s">
        <v>67</v>
      </c>
      <c r="F33" s="206"/>
      <c r="G33" s="6">
        <v>42626</v>
      </c>
      <c r="H33" s="4">
        <v>48.76</v>
      </c>
      <c r="I33" s="182" t="s">
        <v>265</v>
      </c>
      <c r="J33" s="183"/>
      <c r="K33" s="18"/>
      <c r="L33" s="18"/>
    </row>
    <row r="34" spans="1:12" ht="15.75" x14ac:dyDescent="0.25">
      <c r="G34" s="6">
        <v>42632</v>
      </c>
      <c r="H34" s="3">
        <v>5.98</v>
      </c>
      <c r="I34" s="182" t="s">
        <v>273</v>
      </c>
      <c r="J34" s="183"/>
      <c r="K34" s="180"/>
      <c r="L34" s="180"/>
    </row>
    <row r="35" spans="1:12" ht="15.75" x14ac:dyDescent="0.25">
      <c r="G35" s="6">
        <v>42636</v>
      </c>
      <c r="H35" s="4">
        <v>57.13</v>
      </c>
      <c r="I35" s="182" t="s">
        <v>272</v>
      </c>
      <c r="J35" s="183"/>
      <c r="K35" s="180"/>
      <c r="L35" s="180"/>
    </row>
    <row r="36" spans="1:12" ht="15.75" x14ac:dyDescent="0.25">
      <c r="G36" s="6">
        <v>42636</v>
      </c>
      <c r="H36" s="4">
        <v>138.72999999999999</v>
      </c>
      <c r="I36" s="182" t="s">
        <v>145</v>
      </c>
      <c r="J36" s="183"/>
    </row>
    <row r="37" spans="1:12" ht="15.75" x14ac:dyDescent="0.25">
      <c r="G37" s="6">
        <v>42653</v>
      </c>
      <c r="H37" s="4">
        <v>1500</v>
      </c>
      <c r="I37" s="182" t="s">
        <v>173</v>
      </c>
      <c r="J37" s="183"/>
    </row>
    <row r="38" spans="1:12" ht="15.75" x14ac:dyDescent="0.25">
      <c r="G38" s="6"/>
      <c r="H38" s="4"/>
      <c r="I38" s="182"/>
      <c r="J38" s="183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35"/>
      <c r="I42" s="182"/>
      <c r="J42" s="183"/>
      <c r="K42" s="204" t="s">
        <v>283</v>
      </c>
      <c r="L42" s="205"/>
    </row>
    <row r="43" spans="1:12" ht="15.75" x14ac:dyDescent="0.25">
      <c r="G43" s="6"/>
      <c r="H43" s="35"/>
      <c r="I43" s="182"/>
      <c r="J43" s="183"/>
    </row>
    <row r="44" spans="1:12" ht="15.75" x14ac:dyDescent="0.25">
      <c r="G44" s="6"/>
      <c r="H44" s="35"/>
      <c r="I44" s="182"/>
      <c r="J44" s="183"/>
    </row>
    <row r="46" spans="1:12" x14ac:dyDescent="0.25">
      <c r="G46" s="180" t="s">
        <v>64</v>
      </c>
      <c r="H46" s="180"/>
      <c r="I46" s="180" t="s">
        <v>64</v>
      </c>
      <c r="J46" s="180"/>
      <c r="K46" s="180" t="s">
        <v>64</v>
      </c>
      <c r="L46" s="180"/>
    </row>
    <row r="47" spans="1:12" x14ac:dyDescent="0.25">
      <c r="G47" s="180" t="s">
        <v>63</v>
      </c>
      <c r="H47" s="180"/>
      <c r="I47" s="180" t="s">
        <v>65</v>
      </c>
      <c r="J47" s="180"/>
      <c r="K47" s="180" t="s">
        <v>67</v>
      </c>
      <c r="L47" s="180"/>
    </row>
  </sheetData>
  <mergeCells count="72">
    <mergeCell ref="K34:L34"/>
    <mergeCell ref="I35:J35"/>
    <mergeCell ref="K35:L35"/>
    <mergeCell ref="I36:J36"/>
    <mergeCell ref="I37:J37"/>
    <mergeCell ref="I34:J34"/>
    <mergeCell ref="G47:H47"/>
    <mergeCell ref="I47:J47"/>
    <mergeCell ref="K47:L47"/>
    <mergeCell ref="I38:J38"/>
    <mergeCell ref="I39:J39"/>
    <mergeCell ref="I40:J40"/>
    <mergeCell ref="I41:J41"/>
    <mergeCell ref="I42:J42"/>
    <mergeCell ref="K42:L42"/>
    <mergeCell ref="I43:J43"/>
    <mergeCell ref="I44:J44"/>
    <mergeCell ref="G46:H46"/>
    <mergeCell ref="I46:J46"/>
    <mergeCell ref="K46:L46"/>
    <mergeCell ref="A32:B32"/>
    <mergeCell ref="C32:D32"/>
    <mergeCell ref="E32:F32"/>
    <mergeCell ref="I32:J32"/>
    <mergeCell ref="A33:B33"/>
    <mergeCell ref="C33:D33"/>
    <mergeCell ref="E33:F33"/>
    <mergeCell ref="I33:J33"/>
    <mergeCell ref="D27:E27"/>
    <mergeCell ref="K27:L27"/>
    <mergeCell ref="A28:F30"/>
    <mergeCell ref="G30:J30"/>
    <mergeCell ref="K30:L30"/>
    <mergeCell ref="I31:J31"/>
    <mergeCell ref="K31:L31"/>
    <mergeCell ref="G25:H25"/>
    <mergeCell ref="I25:J25"/>
    <mergeCell ref="K25:L25"/>
    <mergeCell ref="G26:H26"/>
    <mergeCell ref="I26:J26"/>
    <mergeCell ref="K26:L26"/>
    <mergeCell ref="K24:L24"/>
    <mergeCell ref="I14:J14"/>
    <mergeCell ref="I15:J15"/>
    <mergeCell ref="I16:J16"/>
    <mergeCell ref="A17:B17"/>
    <mergeCell ref="I17:J17"/>
    <mergeCell ref="D18:E18"/>
    <mergeCell ref="I18:J18"/>
    <mergeCell ref="I19:J19"/>
    <mergeCell ref="I20:J20"/>
    <mergeCell ref="I21:J21"/>
    <mergeCell ref="I22:J22"/>
    <mergeCell ref="H23:L23"/>
    <mergeCell ref="D10:E10"/>
    <mergeCell ref="I10:J10"/>
    <mergeCell ref="I11:J11"/>
    <mergeCell ref="I12:J12"/>
    <mergeCell ref="A24:B24"/>
    <mergeCell ref="I13:J13"/>
    <mergeCell ref="I9:J9"/>
    <mergeCell ref="A1:B1"/>
    <mergeCell ref="D1:E1"/>
    <mergeCell ref="G1:L1"/>
    <mergeCell ref="I3:J3"/>
    <mergeCell ref="I4:J4"/>
    <mergeCell ref="I7:J7"/>
    <mergeCell ref="Q1:R1"/>
    <mergeCell ref="A2:B2"/>
    <mergeCell ref="D2:E2"/>
    <mergeCell ref="I2:J2"/>
    <mergeCell ref="I8:J8"/>
  </mergeCells>
  <pageMargins left="0.59055118110236215" right="0.39370078740157483" top="0.39370078740157483" bottom="0.39370078740157483" header="0.31496062992125984" footer="0.31496062992125984"/>
  <pageSetup paperSize="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47"/>
  <sheetViews>
    <sheetView topLeftCell="E12"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</cols>
  <sheetData>
    <row r="1" spans="1:12" ht="18.75" x14ac:dyDescent="0.3">
      <c r="A1" s="184" t="s">
        <v>295</v>
      </c>
      <c r="B1" s="184"/>
      <c r="C1" s="10"/>
      <c r="D1" s="199" t="s">
        <v>55</v>
      </c>
      <c r="E1" s="200"/>
      <c r="G1" s="184" t="s">
        <v>296</v>
      </c>
      <c r="H1" s="184"/>
      <c r="I1" s="184"/>
      <c r="J1" s="184"/>
      <c r="K1" s="184"/>
      <c r="L1" s="184"/>
    </row>
    <row r="2" spans="1:12" ht="18.75" x14ac:dyDescent="0.3">
      <c r="A2" s="184" t="s">
        <v>284</v>
      </c>
      <c r="B2" s="184"/>
      <c r="C2" s="10"/>
      <c r="D2" s="189"/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H23</f>
        <v>6875</v>
      </c>
      <c r="C3" s="11"/>
      <c r="D3" s="2"/>
      <c r="E3" s="2"/>
      <c r="G3" s="6">
        <v>42647</v>
      </c>
      <c r="H3" s="7">
        <v>1000</v>
      </c>
      <c r="I3" s="187" t="s">
        <v>290</v>
      </c>
      <c r="J3" s="188"/>
      <c r="K3" s="8" t="s">
        <v>291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21"/>
      <c r="G4" s="6">
        <v>42653</v>
      </c>
      <c r="H4" s="7">
        <v>500</v>
      </c>
      <c r="I4" s="187" t="s">
        <v>46</v>
      </c>
      <c r="J4" s="188"/>
      <c r="K4" s="8" t="s">
        <v>217</v>
      </c>
      <c r="L4" s="8" t="s">
        <v>268</v>
      </c>
    </row>
    <row r="5" spans="1:12" ht="15.75" x14ac:dyDescent="0.25">
      <c r="A5" s="2" t="s">
        <v>4</v>
      </c>
      <c r="B5" s="3">
        <f>SUM(H32:H44)</f>
        <v>2040.6599999999999</v>
      </c>
      <c r="C5" s="11"/>
      <c r="D5" s="5"/>
      <c r="E5" s="21"/>
      <c r="G5" s="6">
        <v>42653</v>
      </c>
      <c r="H5" s="7">
        <v>500</v>
      </c>
      <c r="I5" s="187" t="s">
        <v>46</v>
      </c>
      <c r="J5" s="188"/>
      <c r="K5" s="8" t="s">
        <v>292</v>
      </c>
      <c r="L5" s="8" t="s">
        <v>268</v>
      </c>
    </row>
    <row r="6" spans="1:12" ht="15.75" x14ac:dyDescent="0.25">
      <c r="A6" s="2"/>
      <c r="B6" s="3"/>
      <c r="C6" s="11"/>
      <c r="D6" s="22"/>
      <c r="E6" s="21"/>
      <c r="G6" s="6">
        <v>42656</v>
      </c>
      <c r="H6" s="7">
        <v>500</v>
      </c>
      <c r="I6" s="187" t="s">
        <v>285</v>
      </c>
      <c r="J6" s="188"/>
      <c r="K6" s="8" t="s">
        <v>2225</v>
      </c>
      <c r="L6" s="8" t="s">
        <v>267</v>
      </c>
    </row>
    <row r="7" spans="1:12" ht="15.75" x14ac:dyDescent="0.25">
      <c r="A7" s="12" t="s">
        <v>5</v>
      </c>
      <c r="B7" s="25">
        <f>B3+B4-B5</f>
        <v>4834.34</v>
      </c>
      <c r="C7" s="11"/>
      <c r="D7" s="22"/>
      <c r="E7" s="21"/>
      <c r="G7" s="6">
        <v>42660</v>
      </c>
      <c r="H7" s="7">
        <v>250</v>
      </c>
      <c r="I7" s="187" t="s">
        <v>287</v>
      </c>
      <c r="J7" s="188"/>
      <c r="K7" s="8" t="s">
        <v>288</v>
      </c>
      <c r="L7" s="8" t="s">
        <v>268</v>
      </c>
    </row>
    <row r="8" spans="1:12" ht="15.75" x14ac:dyDescent="0.25">
      <c r="A8" s="2"/>
      <c r="B8" s="3"/>
      <c r="C8" s="11"/>
      <c r="D8" s="22"/>
      <c r="E8" s="21"/>
      <c r="G8" s="6">
        <v>42662</v>
      </c>
      <c r="H8" s="7">
        <v>300</v>
      </c>
      <c r="I8" s="187"/>
      <c r="J8" s="188"/>
      <c r="K8" s="8"/>
      <c r="L8" s="8" t="s">
        <v>267</v>
      </c>
    </row>
    <row r="9" spans="1:12" ht="15.75" x14ac:dyDescent="0.25">
      <c r="A9" s="2" t="s">
        <v>14</v>
      </c>
      <c r="B9" s="3">
        <f>B7*0.1</f>
        <v>483.43400000000003</v>
      </c>
      <c r="C9" s="11"/>
      <c r="D9" s="23" t="s">
        <v>23</v>
      </c>
      <c r="E9" s="24">
        <f>SUM(E4:E8)</f>
        <v>0</v>
      </c>
      <c r="G9" s="6">
        <v>42664</v>
      </c>
      <c r="H9" s="7">
        <v>500</v>
      </c>
      <c r="I9" s="187" t="s">
        <v>278</v>
      </c>
      <c r="J9" s="188"/>
      <c r="K9" s="8" t="s">
        <v>289</v>
      </c>
      <c r="L9" s="8" t="s">
        <v>267</v>
      </c>
    </row>
    <row r="10" spans="1:12" ht="15.75" x14ac:dyDescent="0.25">
      <c r="A10" s="2"/>
      <c r="B10" s="3"/>
      <c r="C10" s="11"/>
      <c r="D10" s="189" t="s">
        <v>11</v>
      </c>
      <c r="E10" s="190"/>
      <c r="G10" s="6">
        <v>42669</v>
      </c>
      <c r="H10" s="7">
        <v>500</v>
      </c>
      <c r="I10" s="191"/>
      <c r="J10" s="192"/>
      <c r="K10" s="8"/>
      <c r="L10" s="8"/>
    </row>
    <row r="11" spans="1:12" ht="15.75" x14ac:dyDescent="0.25">
      <c r="A11" s="2" t="s">
        <v>59</v>
      </c>
      <c r="B11" s="3">
        <f>(B7-B9)/2</f>
        <v>2175.453</v>
      </c>
      <c r="C11" s="11"/>
      <c r="D11" s="2" t="s">
        <v>1</v>
      </c>
      <c r="E11" s="2" t="s">
        <v>6</v>
      </c>
      <c r="G11" s="6">
        <v>42677</v>
      </c>
      <c r="H11" s="7">
        <v>500</v>
      </c>
      <c r="I11" s="191"/>
      <c r="J11" s="192"/>
      <c r="K11" s="38"/>
      <c r="L11" s="8"/>
    </row>
    <row r="12" spans="1:12" ht="15.75" x14ac:dyDescent="0.25">
      <c r="A12" s="2"/>
      <c r="B12" s="3"/>
      <c r="C12" s="11"/>
      <c r="D12" s="5">
        <v>42667</v>
      </c>
      <c r="E12" s="21">
        <v>114.59</v>
      </c>
      <c r="F12" t="s">
        <v>198</v>
      </c>
      <c r="G12" s="6">
        <v>42678</v>
      </c>
      <c r="H12" s="7">
        <v>500</v>
      </c>
      <c r="I12" s="191"/>
      <c r="J12" s="192"/>
      <c r="K12" s="38" t="s">
        <v>2267</v>
      </c>
      <c r="L12" s="39" t="s">
        <v>267</v>
      </c>
    </row>
    <row r="13" spans="1:12" ht="15.75" x14ac:dyDescent="0.25">
      <c r="A13" s="2"/>
      <c r="B13" s="3"/>
      <c r="C13" s="11"/>
      <c r="D13" s="5">
        <v>42667</v>
      </c>
      <c r="E13" s="21">
        <v>200</v>
      </c>
      <c r="F13" t="s">
        <v>274</v>
      </c>
      <c r="G13" s="6">
        <v>42685</v>
      </c>
      <c r="H13" s="7">
        <v>1325</v>
      </c>
      <c r="I13" s="191"/>
      <c r="J13" s="192"/>
      <c r="K13" s="8" t="s">
        <v>291</v>
      </c>
      <c r="L13" s="8" t="s">
        <v>268</v>
      </c>
    </row>
    <row r="14" spans="1:12" ht="15.75" x14ac:dyDescent="0.25">
      <c r="A14" s="2"/>
      <c r="B14" s="3"/>
      <c r="C14" s="11"/>
      <c r="D14" s="5">
        <v>42677</v>
      </c>
      <c r="E14" s="21">
        <v>300</v>
      </c>
      <c r="G14" s="6">
        <v>42688</v>
      </c>
      <c r="H14" s="7">
        <v>500</v>
      </c>
      <c r="I14" s="191" t="s">
        <v>298</v>
      </c>
      <c r="J14" s="192"/>
      <c r="K14" s="8" t="s">
        <v>299</v>
      </c>
      <c r="L14" s="8" t="s">
        <v>268</v>
      </c>
    </row>
    <row r="15" spans="1:12" ht="15.75" x14ac:dyDescent="0.25">
      <c r="A15" s="2"/>
      <c r="B15" s="3"/>
      <c r="C15" s="11"/>
      <c r="D15" s="22">
        <v>42678</v>
      </c>
      <c r="E15" s="4">
        <v>100</v>
      </c>
      <c r="F15" t="s">
        <v>145</v>
      </c>
      <c r="G15" s="6"/>
      <c r="H15" s="7"/>
      <c r="I15" s="191"/>
      <c r="J15" s="192"/>
      <c r="K15" s="8"/>
      <c r="L15" s="8"/>
    </row>
    <row r="16" spans="1:12" ht="15.75" x14ac:dyDescent="0.25">
      <c r="A16" s="2"/>
      <c r="B16" s="2"/>
      <c r="C16" s="1"/>
      <c r="D16" s="22">
        <v>42685</v>
      </c>
      <c r="E16" s="21">
        <v>200</v>
      </c>
      <c r="G16" s="6"/>
      <c r="H16" s="7"/>
      <c r="I16" s="191"/>
      <c r="J16" s="192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SUM(E12:E16)</f>
        <v>914.59</v>
      </c>
      <c r="G17" s="6"/>
      <c r="H17" s="7"/>
      <c r="I17" s="191"/>
      <c r="J17" s="192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91"/>
      <c r="J18" s="192"/>
      <c r="K18" s="8"/>
      <c r="L18" s="8"/>
    </row>
    <row r="19" spans="1:12" ht="15.75" x14ac:dyDescent="0.25">
      <c r="A19" s="2" t="s">
        <v>57</v>
      </c>
      <c r="B19" s="3">
        <f>B11-E17</f>
        <v>1260.8629999999998</v>
      </c>
      <c r="C19" s="1"/>
      <c r="D19" s="2" t="s">
        <v>1</v>
      </c>
      <c r="E19" s="2" t="s">
        <v>6</v>
      </c>
      <c r="G19" s="6"/>
      <c r="H19" s="7"/>
      <c r="I19" s="191"/>
      <c r="J19" s="192"/>
      <c r="K19" s="8"/>
      <c r="L19" s="8"/>
    </row>
    <row r="20" spans="1:12" ht="15.75" x14ac:dyDescent="0.25">
      <c r="A20" s="2" t="s">
        <v>12</v>
      </c>
      <c r="B20" s="3">
        <f>B11-E25</f>
        <v>2175.453</v>
      </c>
      <c r="C20" s="1"/>
      <c r="D20" s="5"/>
      <c r="E20" s="21"/>
      <c r="G20" s="6"/>
      <c r="H20" s="7"/>
      <c r="I20" s="210"/>
      <c r="J20" s="210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210"/>
      <c r="J21" s="210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210"/>
      <c r="J22" s="210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 t="s">
        <v>23</v>
      </c>
      <c r="H23" s="193">
        <f>SUM(H3:H22)</f>
        <v>6875</v>
      </c>
      <c r="I23" s="194"/>
      <c r="J23" s="194"/>
      <c r="K23" s="194"/>
      <c r="L23" s="195"/>
    </row>
    <row r="24" spans="1:12" ht="15.75" x14ac:dyDescent="0.25">
      <c r="A24" s="196" t="s">
        <v>293</v>
      </c>
      <c r="B24" s="196"/>
      <c r="C24" s="1"/>
      <c r="D24" s="22"/>
      <c r="E24" s="21"/>
      <c r="F24" s="1"/>
      <c r="G24" s="1"/>
      <c r="H24" s="1"/>
      <c r="I24" s="1"/>
      <c r="J24" s="1"/>
      <c r="K24" s="196" t="s">
        <v>293</v>
      </c>
      <c r="L24" s="196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80"/>
      <c r="H25" s="180"/>
      <c r="I25" s="180" t="s">
        <v>69</v>
      </c>
      <c r="J25" s="180"/>
      <c r="K25" s="180" t="s">
        <v>69</v>
      </c>
      <c r="L25" s="180"/>
    </row>
    <row r="26" spans="1:12" x14ac:dyDescent="0.25">
      <c r="A26" s="209" t="s">
        <v>297</v>
      </c>
      <c r="B26" s="209"/>
      <c r="C26" s="209"/>
      <c r="D26" s="209"/>
      <c r="E26" s="209"/>
      <c r="F26" s="209"/>
      <c r="G26" s="180"/>
      <c r="H26" s="180"/>
      <c r="I26" s="180" t="s">
        <v>65</v>
      </c>
      <c r="J26" s="180"/>
      <c r="K26" s="180" t="s">
        <v>67</v>
      </c>
      <c r="L26" s="180"/>
    </row>
    <row r="27" spans="1:12" x14ac:dyDescent="0.25">
      <c r="A27" s="209"/>
      <c r="B27" s="209"/>
      <c r="C27" s="209"/>
      <c r="D27" s="209"/>
      <c r="E27" s="209"/>
      <c r="F27" s="209"/>
      <c r="K27" s="180"/>
      <c r="L27" s="180"/>
    </row>
    <row r="28" spans="1:12" x14ac:dyDescent="0.25">
      <c r="A28" s="209"/>
      <c r="B28" s="209"/>
      <c r="C28" s="209"/>
      <c r="D28" s="209"/>
      <c r="E28" s="209"/>
      <c r="F28" s="209"/>
      <c r="K28" s="18"/>
      <c r="L28" s="18"/>
    </row>
    <row r="29" spans="1:12" ht="15.75" x14ac:dyDescent="0.25">
      <c r="A29" s="17"/>
      <c r="B29" s="29"/>
      <c r="C29" s="29"/>
      <c r="D29" s="29"/>
      <c r="E29" s="20"/>
      <c r="F29" s="1"/>
      <c r="K29" s="18"/>
      <c r="L29" s="18"/>
    </row>
    <row r="30" spans="1:12" ht="18.75" x14ac:dyDescent="0.3">
      <c r="A30" s="178"/>
      <c r="B30" s="178"/>
      <c r="C30" s="178" t="s">
        <v>177</v>
      </c>
      <c r="D30" s="178"/>
      <c r="E30" s="178" t="s">
        <v>177</v>
      </c>
      <c r="F30" s="178"/>
      <c r="G30" s="199" t="s">
        <v>25</v>
      </c>
      <c r="H30" s="207"/>
      <c r="I30" s="207"/>
      <c r="J30" s="200"/>
      <c r="K30" s="180"/>
      <c r="L30" s="180"/>
    </row>
    <row r="31" spans="1:12" ht="15.75" x14ac:dyDescent="0.25">
      <c r="A31" s="180"/>
      <c r="B31" s="180"/>
      <c r="C31" s="180" t="s">
        <v>65</v>
      </c>
      <c r="D31" s="180"/>
      <c r="E31" s="180" t="s">
        <v>67</v>
      </c>
      <c r="F31" s="206"/>
      <c r="G31" s="2" t="s">
        <v>1</v>
      </c>
      <c r="H31" s="2" t="s">
        <v>6</v>
      </c>
      <c r="I31" s="182" t="s">
        <v>13</v>
      </c>
      <c r="J31" s="183"/>
      <c r="K31" s="180"/>
      <c r="L31" s="180"/>
    </row>
    <row r="32" spans="1:12" ht="15.75" x14ac:dyDescent="0.25">
      <c r="G32" s="6">
        <v>42667</v>
      </c>
      <c r="H32" s="7">
        <v>142.55000000000001</v>
      </c>
      <c r="I32" s="182" t="s">
        <v>262</v>
      </c>
      <c r="J32" s="183"/>
      <c r="K32" s="18"/>
      <c r="L32" s="18"/>
    </row>
    <row r="33" spans="7:12" ht="15.75" x14ac:dyDescent="0.25">
      <c r="G33" s="6">
        <v>42683</v>
      </c>
      <c r="H33" s="4">
        <v>145.62</v>
      </c>
      <c r="I33" s="182" t="s">
        <v>145</v>
      </c>
      <c r="J33" s="183"/>
      <c r="K33" s="18"/>
      <c r="L33" s="18"/>
    </row>
    <row r="34" spans="7:12" ht="15.75" x14ac:dyDescent="0.25">
      <c r="G34" s="6">
        <v>42683</v>
      </c>
      <c r="H34" s="3">
        <v>158.41</v>
      </c>
      <c r="I34" s="182" t="s">
        <v>262</v>
      </c>
      <c r="J34" s="183"/>
      <c r="K34" s="180"/>
      <c r="L34" s="180"/>
    </row>
    <row r="35" spans="7:12" ht="15.75" x14ac:dyDescent="0.25">
      <c r="G35" s="6">
        <v>42684</v>
      </c>
      <c r="H35" s="4">
        <v>1500</v>
      </c>
      <c r="I35" s="182" t="s">
        <v>173</v>
      </c>
      <c r="J35" s="183"/>
      <c r="K35" s="180"/>
      <c r="L35" s="180"/>
    </row>
    <row r="36" spans="7:12" ht="15.75" x14ac:dyDescent="0.25">
      <c r="G36" s="6">
        <v>42662</v>
      </c>
      <c r="H36" s="4">
        <v>94.08</v>
      </c>
      <c r="I36" s="182" t="s">
        <v>272</v>
      </c>
      <c r="J36" s="183"/>
    </row>
    <row r="37" spans="7:12" ht="15.75" x14ac:dyDescent="0.25">
      <c r="G37" s="6"/>
      <c r="H37" s="4"/>
      <c r="I37" s="182"/>
      <c r="J37" s="183"/>
    </row>
    <row r="38" spans="7:12" ht="15.75" x14ac:dyDescent="0.25">
      <c r="G38" s="6"/>
      <c r="H38" s="4"/>
      <c r="I38" s="182"/>
      <c r="J38" s="183"/>
    </row>
    <row r="39" spans="7:12" ht="15.75" x14ac:dyDescent="0.25">
      <c r="G39" s="6"/>
      <c r="H39" s="4"/>
      <c r="I39" s="182"/>
      <c r="J39" s="183"/>
    </row>
    <row r="40" spans="7:12" ht="15.75" x14ac:dyDescent="0.25">
      <c r="G40" s="6"/>
      <c r="H40" s="4"/>
      <c r="I40" s="182"/>
      <c r="J40" s="183"/>
    </row>
    <row r="41" spans="7:12" ht="15.75" x14ac:dyDescent="0.25">
      <c r="G41" s="6"/>
      <c r="H41" s="4"/>
      <c r="I41" s="182"/>
      <c r="J41" s="183"/>
    </row>
    <row r="42" spans="7:12" ht="15.75" x14ac:dyDescent="0.25">
      <c r="G42" s="6"/>
      <c r="H42" s="35"/>
      <c r="I42" s="182"/>
      <c r="J42" s="183"/>
      <c r="K42" s="204" t="s">
        <v>294</v>
      </c>
      <c r="L42" s="205"/>
    </row>
    <row r="43" spans="7:12" ht="15.75" x14ac:dyDescent="0.25">
      <c r="G43" s="6"/>
      <c r="H43" s="35"/>
      <c r="I43" s="182"/>
      <c r="J43" s="183"/>
    </row>
    <row r="44" spans="7:12" ht="15.75" x14ac:dyDescent="0.25">
      <c r="G44" s="6"/>
      <c r="H44" s="35"/>
      <c r="I44" s="182"/>
      <c r="J44" s="183"/>
    </row>
    <row r="46" spans="7:12" x14ac:dyDescent="0.25">
      <c r="G46" s="180"/>
      <c r="H46" s="180"/>
      <c r="I46" s="180" t="s">
        <v>64</v>
      </c>
      <c r="J46" s="180"/>
      <c r="K46" s="180" t="s">
        <v>64</v>
      </c>
      <c r="L46" s="180"/>
    </row>
    <row r="47" spans="7:12" x14ac:dyDescent="0.25">
      <c r="G47" s="180"/>
      <c r="H47" s="180"/>
      <c r="I47" s="180" t="s">
        <v>65</v>
      </c>
      <c r="J47" s="180"/>
      <c r="K47" s="180" t="s">
        <v>67</v>
      </c>
      <c r="L47" s="180"/>
    </row>
  </sheetData>
  <mergeCells count="72">
    <mergeCell ref="A1:B1"/>
    <mergeCell ref="D1:E1"/>
    <mergeCell ref="G1:L1"/>
    <mergeCell ref="A2:B2"/>
    <mergeCell ref="D2:E2"/>
    <mergeCell ref="I2:J2"/>
    <mergeCell ref="I3:J3"/>
    <mergeCell ref="I4:J4"/>
    <mergeCell ref="I7:J7"/>
    <mergeCell ref="I8:J8"/>
    <mergeCell ref="D10:E10"/>
    <mergeCell ref="I10:J10"/>
    <mergeCell ref="I5:J5"/>
    <mergeCell ref="I6:J6"/>
    <mergeCell ref="I9:J9"/>
    <mergeCell ref="I20:J20"/>
    <mergeCell ref="I11:J11"/>
    <mergeCell ref="I12:J12"/>
    <mergeCell ref="I13:J13"/>
    <mergeCell ref="I14:J14"/>
    <mergeCell ref="I15:J15"/>
    <mergeCell ref="I16:J16"/>
    <mergeCell ref="A17:B17"/>
    <mergeCell ref="I17:J17"/>
    <mergeCell ref="D18:E18"/>
    <mergeCell ref="I18:J18"/>
    <mergeCell ref="I19:J19"/>
    <mergeCell ref="A26:F28"/>
    <mergeCell ref="G30:J30"/>
    <mergeCell ref="K30:L30"/>
    <mergeCell ref="I21:J21"/>
    <mergeCell ref="I22:J22"/>
    <mergeCell ref="H23:L23"/>
    <mergeCell ref="A24:B24"/>
    <mergeCell ref="K24:L24"/>
    <mergeCell ref="G25:H25"/>
    <mergeCell ref="I25:J25"/>
    <mergeCell ref="K25:L25"/>
    <mergeCell ref="G26:H26"/>
    <mergeCell ref="I26:J26"/>
    <mergeCell ref="K26:L26"/>
    <mergeCell ref="K27:L27"/>
    <mergeCell ref="K34:L34"/>
    <mergeCell ref="I31:J31"/>
    <mergeCell ref="K31:L31"/>
    <mergeCell ref="A30:B30"/>
    <mergeCell ref="C30:D30"/>
    <mergeCell ref="E30:F30"/>
    <mergeCell ref="I32:J32"/>
    <mergeCell ref="A31:B31"/>
    <mergeCell ref="C31:D31"/>
    <mergeCell ref="E31:F31"/>
    <mergeCell ref="I33:J33"/>
    <mergeCell ref="I34:J34"/>
    <mergeCell ref="I44:J44"/>
    <mergeCell ref="I35:J35"/>
    <mergeCell ref="K35:L35"/>
    <mergeCell ref="I36:J36"/>
    <mergeCell ref="I37:J37"/>
    <mergeCell ref="I38:J38"/>
    <mergeCell ref="I39:J39"/>
    <mergeCell ref="I40:J40"/>
    <mergeCell ref="I41:J41"/>
    <mergeCell ref="I42:J42"/>
    <mergeCell ref="K42:L42"/>
    <mergeCell ref="I43:J43"/>
    <mergeCell ref="G46:H46"/>
    <mergeCell ref="I46:J46"/>
    <mergeCell ref="K46:L46"/>
    <mergeCell ref="G47:H47"/>
    <mergeCell ref="I47:J47"/>
    <mergeCell ref="K47:L47"/>
  </mergeCells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L47"/>
  <sheetViews>
    <sheetView topLeftCell="E1" workbookViewId="0">
      <selection activeCell="K5" sqref="K5"/>
    </sheetView>
  </sheetViews>
  <sheetFormatPr defaultRowHeight="15" x14ac:dyDescent="0.25"/>
  <cols>
    <col min="1" max="1" width="22.42578125" bestFit="1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bestFit="1" customWidth="1"/>
  </cols>
  <sheetData>
    <row r="1" spans="1:12" ht="18.75" x14ac:dyDescent="0.3">
      <c r="A1" s="184" t="s">
        <v>328</v>
      </c>
      <c r="B1" s="184"/>
      <c r="C1" s="10"/>
      <c r="D1" s="199" t="s">
        <v>55</v>
      </c>
      <c r="E1" s="200"/>
      <c r="G1" s="184" t="s">
        <v>300</v>
      </c>
      <c r="H1" s="184"/>
      <c r="I1" s="184"/>
      <c r="J1" s="184"/>
      <c r="K1" s="184"/>
      <c r="L1" s="184"/>
    </row>
    <row r="2" spans="1:12" ht="18.75" x14ac:dyDescent="0.3">
      <c r="A2" s="184" t="s">
        <v>301</v>
      </c>
      <c r="B2" s="184"/>
      <c r="C2" s="10"/>
      <c r="D2" s="189"/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customHeight="1" x14ac:dyDescent="0.25">
      <c r="A3" s="2" t="s">
        <v>2</v>
      </c>
      <c r="B3" s="3">
        <f>H23</f>
        <v>3755</v>
      </c>
      <c r="C3" s="11"/>
      <c r="D3" s="2"/>
      <c r="E3" s="2"/>
      <c r="G3" s="6">
        <v>42690</v>
      </c>
      <c r="H3" s="7">
        <v>200</v>
      </c>
      <c r="I3" s="187" t="s">
        <v>302</v>
      </c>
      <c r="J3" s="188"/>
      <c r="K3" s="8" t="s">
        <v>303</v>
      </c>
      <c r="L3" s="8" t="s">
        <v>167</v>
      </c>
    </row>
    <row r="4" spans="1:12" ht="15.75" customHeight="1" x14ac:dyDescent="0.25">
      <c r="A4" s="2" t="s">
        <v>3</v>
      </c>
      <c r="B4" s="3"/>
      <c r="C4" s="11"/>
      <c r="D4" s="5"/>
      <c r="E4" s="21"/>
      <c r="G4" s="6">
        <v>42709</v>
      </c>
      <c r="H4" s="7">
        <v>250</v>
      </c>
      <c r="I4" s="187" t="s">
        <v>306</v>
      </c>
      <c r="J4" s="188"/>
      <c r="K4" s="8" t="s">
        <v>307</v>
      </c>
      <c r="L4" s="8" t="s">
        <v>268</v>
      </c>
    </row>
    <row r="5" spans="1:12" ht="15.75" customHeight="1" x14ac:dyDescent="0.25">
      <c r="A5" s="2" t="s">
        <v>4</v>
      </c>
      <c r="B5" s="3">
        <f>SUM(H32:H44)</f>
        <v>1614.99</v>
      </c>
      <c r="C5" s="11"/>
      <c r="D5" s="5"/>
      <c r="E5" s="21"/>
      <c r="G5" s="6">
        <v>42709</v>
      </c>
      <c r="H5" s="7">
        <v>500</v>
      </c>
      <c r="I5" s="187" t="s">
        <v>302</v>
      </c>
      <c r="J5" s="188"/>
      <c r="K5" s="8" t="s">
        <v>2267</v>
      </c>
      <c r="L5" s="8" t="s">
        <v>267</v>
      </c>
    </row>
    <row r="6" spans="1:12" ht="15.75" customHeight="1" x14ac:dyDescent="0.25">
      <c r="A6" s="2"/>
      <c r="B6" s="3"/>
      <c r="C6" s="11"/>
      <c r="D6" s="22"/>
      <c r="E6" s="21"/>
      <c r="G6" s="6">
        <v>42710</v>
      </c>
      <c r="H6" s="7">
        <v>500</v>
      </c>
      <c r="I6" s="187" t="s">
        <v>46</v>
      </c>
      <c r="J6" s="188"/>
      <c r="K6" s="8" t="s">
        <v>218</v>
      </c>
      <c r="L6" s="8" t="s">
        <v>268</v>
      </c>
    </row>
    <row r="7" spans="1:12" ht="15.75" customHeight="1" x14ac:dyDescent="0.25">
      <c r="A7" s="12" t="s">
        <v>5</v>
      </c>
      <c r="B7" s="25">
        <f>B3+B4-B5</f>
        <v>2140.0100000000002</v>
      </c>
      <c r="C7" s="11"/>
      <c r="D7" s="22"/>
      <c r="E7" s="21"/>
      <c r="G7" s="6">
        <v>42713</v>
      </c>
      <c r="H7" s="7">
        <v>825</v>
      </c>
      <c r="I7" s="187" t="s">
        <v>290</v>
      </c>
      <c r="J7" s="188"/>
      <c r="K7" s="8" t="s">
        <v>309</v>
      </c>
      <c r="L7" s="8" t="s">
        <v>268</v>
      </c>
    </row>
    <row r="8" spans="1:12" ht="15.75" customHeight="1" x14ac:dyDescent="0.25">
      <c r="A8" s="2"/>
      <c r="B8" s="3"/>
      <c r="C8" s="11"/>
      <c r="D8" s="22"/>
      <c r="E8" s="21"/>
      <c r="G8" s="6">
        <v>42713</v>
      </c>
      <c r="H8" s="7">
        <v>500</v>
      </c>
      <c r="I8" s="212" t="s">
        <v>46</v>
      </c>
      <c r="J8" s="213"/>
      <c r="K8" s="8" t="s">
        <v>310</v>
      </c>
      <c r="L8" s="8" t="s">
        <v>268</v>
      </c>
    </row>
    <row r="9" spans="1:12" ht="15.75" customHeight="1" x14ac:dyDescent="0.25">
      <c r="A9" s="2" t="s">
        <v>14</v>
      </c>
      <c r="B9" s="3">
        <f>B7*0.1</f>
        <v>214.00100000000003</v>
      </c>
      <c r="C9" s="11"/>
      <c r="D9" s="23" t="s">
        <v>23</v>
      </c>
      <c r="E9" s="24">
        <f>SUM(E4:E8)</f>
        <v>0</v>
      </c>
      <c r="G9" s="6">
        <v>42716</v>
      </c>
      <c r="H9" s="7">
        <v>500</v>
      </c>
      <c r="I9" s="187" t="s">
        <v>46</v>
      </c>
      <c r="J9" s="188"/>
      <c r="K9" s="8" t="s">
        <v>304</v>
      </c>
      <c r="L9" s="8" t="s">
        <v>268</v>
      </c>
    </row>
    <row r="10" spans="1:12" ht="15.75" customHeight="1" x14ac:dyDescent="0.25">
      <c r="A10" s="2"/>
      <c r="B10" s="3"/>
      <c r="C10" s="11"/>
      <c r="D10" s="189" t="s">
        <v>11</v>
      </c>
      <c r="E10" s="190"/>
      <c r="G10" s="6">
        <v>42716</v>
      </c>
      <c r="H10" s="7">
        <v>230</v>
      </c>
      <c r="I10" s="187" t="s">
        <v>305</v>
      </c>
      <c r="J10" s="188"/>
      <c r="K10" s="8"/>
      <c r="L10" s="8"/>
    </row>
    <row r="11" spans="1:12" ht="15.75" customHeight="1" x14ac:dyDescent="0.25">
      <c r="A11" s="2" t="s">
        <v>59</v>
      </c>
      <c r="B11" s="3">
        <f>(B7-B9)/2</f>
        <v>963.00450000000012</v>
      </c>
      <c r="C11" s="11"/>
      <c r="D11" s="2" t="s">
        <v>1</v>
      </c>
      <c r="E11" s="2" t="s">
        <v>6</v>
      </c>
      <c r="G11" s="6">
        <v>42716</v>
      </c>
      <c r="H11" s="7">
        <v>150</v>
      </c>
      <c r="I11" s="212" t="s">
        <v>165</v>
      </c>
      <c r="J11" s="213"/>
      <c r="K11" s="30" t="s">
        <v>325</v>
      </c>
      <c r="L11" s="8" t="s">
        <v>267</v>
      </c>
    </row>
    <row r="12" spans="1:12" ht="15.75" customHeight="1" x14ac:dyDescent="0.25">
      <c r="A12" s="2"/>
      <c r="B12" s="3"/>
      <c r="C12" s="11"/>
      <c r="D12" s="5"/>
      <c r="E12" s="21">
        <v>719</v>
      </c>
      <c r="G12" s="6">
        <v>42716</v>
      </c>
      <c r="H12" s="7">
        <v>100</v>
      </c>
      <c r="I12" s="187" t="s">
        <v>327</v>
      </c>
      <c r="J12" s="188"/>
      <c r="K12" s="8" t="s">
        <v>326</v>
      </c>
      <c r="L12" s="8" t="s">
        <v>268</v>
      </c>
    </row>
    <row r="13" spans="1:12" ht="15.75" customHeight="1" x14ac:dyDescent="0.25">
      <c r="A13" s="2"/>
      <c r="B13" s="3"/>
      <c r="C13" s="11"/>
      <c r="D13" s="5"/>
      <c r="E13" s="21">
        <v>112.34</v>
      </c>
      <c r="G13" s="6"/>
      <c r="H13" s="7"/>
      <c r="I13" s="212"/>
      <c r="J13" s="213"/>
      <c r="K13" s="8"/>
      <c r="L13" s="8"/>
    </row>
    <row r="14" spans="1:12" ht="15.75" customHeight="1" x14ac:dyDescent="0.25">
      <c r="A14" s="2"/>
      <c r="B14" s="3"/>
      <c r="C14" s="11"/>
      <c r="D14" s="5"/>
      <c r="E14" s="21">
        <v>114.59</v>
      </c>
      <c r="G14" s="6"/>
      <c r="H14" s="7"/>
      <c r="I14" s="187"/>
      <c r="J14" s="188"/>
      <c r="K14" s="8"/>
      <c r="L14" s="8"/>
    </row>
    <row r="15" spans="1:12" ht="15.75" customHeight="1" x14ac:dyDescent="0.25">
      <c r="A15" s="2"/>
      <c r="B15" s="3"/>
      <c r="C15" s="11"/>
      <c r="D15" s="22"/>
      <c r="E15" s="4"/>
      <c r="G15" s="6"/>
      <c r="H15" s="7"/>
      <c r="I15" s="212"/>
      <c r="J15" s="213"/>
      <c r="K15" s="8"/>
      <c r="L15" s="8"/>
    </row>
    <row r="16" spans="1:12" ht="15.75" customHeight="1" x14ac:dyDescent="0.25">
      <c r="A16" s="2"/>
      <c r="B16" s="2"/>
      <c r="C16" s="1"/>
      <c r="D16" s="22"/>
      <c r="E16" s="21"/>
      <c r="G16" s="6"/>
      <c r="H16" s="7"/>
      <c r="I16" s="212"/>
      <c r="J16" s="213"/>
      <c r="K16" s="8"/>
      <c r="L16" s="8"/>
    </row>
    <row r="17" spans="1:12" ht="15.75" customHeight="1" x14ac:dyDescent="0.25">
      <c r="A17" s="198" t="s">
        <v>56</v>
      </c>
      <c r="B17" s="198"/>
      <c r="C17" s="1"/>
      <c r="D17" s="23" t="s">
        <v>23</v>
      </c>
      <c r="E17" s="24">
        <f>SUM(E12:E16)</f>
        <v>945.93000000000006</v>
      </c>
      <c r="G17" s="6"/>
      <c r="H17" s="7"/>
      <c r="I17" s="187"/>
      <c r="J17" s="188"/>
      <c r="K17" s="8"/>
      <c r="L17" s="8"/>
    </row>
    <row r="18" spans="1:12" ht="15.75" customHeight="1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customHeight="1" x14ac:dyDescent="0.25">
      <c r="A19" s="2" t="s">
        <v>57</v>
      </c>
      <c r="B19" s="3">
        <f>B11-E17</f>
        <v>17.074500000000057</v>
      </c>
      <c r="C19" s="1"/>
      <c r="D19" s="2" t="s">
        <v>1</v>
      </c>
      <c r="E19" s="2" t="s">
        <v>6</v>
      </c>
      <c r="G19" s="6"/>
      <c r="H19" s="7"/>
      <c r="I19" s="212"/>
      <c r="J19" s="213"/>
      <c r="K19" s="8"/>
      <c r="L19" s="8"/>
    </row>
    <row r="20" spans="1:12" ht="15.75" customHeight="1" x14ac:dyDescent="0.25">
      <c r="A20" s="2" t="s">
        <v>12</v>
      </c>
      <c r="B20" s="3">
        <f>B11-E25</f>
        <v>963.00450000000012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customHeight="1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customHeight="1" x14ac:dyDescent="0.25">
      <c r="A22" s="2"/>
      <c r="B22" s="2"/>
      <c r="C22" s="1"/>
      <c r="D22" s="22"/>
      <c r="E22" s="21"/>
      <c r="G22" s="6"/>
      <c r="H22" s="7"/>
      <c r="I22" s="211"/>
      <c r="J22" s="211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 t="s">
        <v>23</v>
      </c>
      <c r="H23" s="193">
        <f>SUM(H3:H22)</f>
        <v>3755</v>
      </c>
      <c r="I23" s="194"/>
      <c r="J23" s="194"/>
      <c r="K23" s="194"/>
      <c r="L23" s="195"/>
    </row>
    <row r="24" spans="1:12" ht="15.75" x14ac:dyDescent="0.25">
      <c r="A24" s="196" t="s">
        <v>311</v>
      </c>
      <c r="B24" s="196"/>
      <c r="C24" s="1"/>
      <c r="D24" s="22"/>
      <c r="E24" s="21"/>
      <c r="F24" s="1"/>
      <c r="G24" s="1"/>
      <c r="H24" s="1"/>
      <c r="I24" s="1"/>
      <c r="J24" s="1"/>
      <c r="K24" s="196" t="s">
        <v>311</v>
      </c>
      <c r="L24" s="196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80"/>
      <c r="H25" s="180"/>
      <c r="I25" s="180" t="s">
        <v>69</v>
      </c>
      <c r="J25" s="180"/>
      <c r="K25" s="180" t="s">
        <v>69</v>
      </c>
      <c r="L25" s="180"/>
    </row>
    <row r="26" spans="1:12" ht="15.75" x14ac:dyDescent="0.25">
      <c r="A26" s="1"/>
      <c r="B26" s="1"/>
      <c r="C26" s="1"/>
      <c r="D26" s="17"/>
      <c r="E26" s="17"/>
      <c r="F26" s="1"/>
      <c r="G26" s="180"/>
      <c r="H26" s="180"/>
      <c r="I26" s="180" t="s">
        <v>65</v>
      </c>
      <c r="J26" s="180"/>
      <c r="K26" s="180" t="s">
        <v>67</v>
      </c>
      <c r="L26" s="180"/>
    </row>
    <row r="27" spans="1:12" ht="18.75" x14ac:dyDescent="0.3">
      <c r="A27" s="17"/>
      <c r="B27" s="17"/>
      <c r="C27" s="17"/>
      <c r="D27" s="178"/>
      <c r="E27" s="178"/>
      <c r="F27" s="9"/>
      <c r="K27" s="180"/>
      <c r="L27" s="180"/>
    </row>
    <row r="28" spans="1:12" x14ac:dyDescent="0.25">
      <c r="A28" s="209" t="s">
        <v>322</v>
      </c>
      <c r="B28" s="209"/>
      <c r="C28" s="209"/>
      <c r="D28" s="209"/>
      <c r="E28" s="209"/>
      <c r="F28" s="209"/>
      <c r="K28" s="18"/>
      <c r="L28" s="18"/>
    </row>
    <row r="29" spans="1:12" x14ac:dyDescent="0.25">
      <c r="A29" s="209"/>
      <c r="B29" s="209"/>
      <c r="C29" s="209"/>
      <c r="D29" s="209"/>
      <c r="E29" s="209"/>
      <c r="F29" s="209"/>
      <c r="K29" s="18"/>
      <c r="L29" s="18"/>
    </row>
    <row r="30" spans="1:12" ht="18.75" x14ac:dyDescent="0.3">
      <c r="A30" s="209"/>
      <c r="B30" s="209"/>
      <c r="C30" s="209"/>
      <c r="D30" s="209"/>
      <c r="E30" s="209"/>
      <c r="F30" s="209"/>
      <c r="G30" s="199" t="s">
        <v>25</v>
      </c>
      <c r="H30" s="207"/>
      <c r="I30" s="207"/>
      <c r="J30" s="200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G31" s="2" t="s">
        <v>1</v>
      </c>
      <c r="H31" s="2" t="s">
        <v>6</v>
      </c>
      <c r="I31" s="182" t="s">
        <v>13</v>
      </c>
      <c r="J31" s="183"/>
      <c r="K31" s="180"/>
      <c r="L31" s="180"/>
    </row>
    <row r="32" spans="1:12" ht="15.75" x14ac:dyDescent="0.25">
      <c r="A32" s="178"/>
      <c r="B32" s="178"/>
      <c r="C32" s="178" t="s">
        <v>177</v>
      </c>
      <c r="D32" s="178"/>
      <c r="E32" s="178" t="s">
        <v>177</v>
      </c>
      <c r="F32" s="178"/>
      <c r="G32" s="6">
        <v>42705</v>
      </c>
      <c r="H32" s="7">
        <v>114.99</v>
      </c>
      <c r="I32" s="182" t="s">
        <v>312</v>
      </c>
      <c r="J32" s="183"/>
      <c r="K32" s="18"/>
      <c r="L32" s="18"/>
    </row>
    <row r="33" spans="1:12" ht="15.75" x14ac:dyDescent="0.25">
      <c r="A33" s="180"/>
      <c r="B33" s="180"/>
      <c r="C33" s="180" t="s">
        <v>65</v>
      </c>
      <c r="D33" s="180"/>
      <c r="E33" s="180" t="s">
        <v>67</v>
      </c>
      <c r="F33" s="206"/>
      <c r="G33" s="6">
        <v>42716</v>
      </c>
      <c r="H33" s="4">
        <v>1500</v>
      </c>
      <c r="I33" s="182" t="s">
        <v>173</v>
      </c>
      <c r="J33" s="183"/>
      <c r="K33" s="18"/>
      <c r="L33" s="18"/>
    </row>
    <row r="34" spans="1:12" ht="15.75" x14ac:dyDescent="0.25">
      <c r="G34" s="6"/>
      <c r="H34" s="3"/>
      <c r="I34" s="182"/>
      <c r="J34" s="183"/>
      <c r="K34" s="180"/>
      <c r="L34" s="180"/>
    </row>
    <row r="35" spans="1:12" ht="15.75" x14ac:dyDescent="0.25">
      <c r="G35" s="6"/>
      <c r="H35" s="4"/>
      <c r="I35" s="182"/>
      <c r="J35" s="183"/>
      <c r="K35" s="180"/>
      <c r="L35" s="180"/>
    </row>
    <row r="36" spans="1:12" ht="15.75" x14ac:dyDescent="0.25">
      <c r="G36" s="6"/>
      <c r="H36" s="4"/>
      <c r="I36" s="182"/>
      <c r="J36" s="183"/>
    </row>
    <row r="37" spans="1:12" ht="15.75" x14ac:dyDescent="0.25">
      <c r="G37" s="6"/>
      <c r="H37" s="4"/>
      <c r="I37" s="182"/>
      <c r="J37" s="183"/>
    </row>
    <row r="38" spans="1:12" ht="15.75" x14ac:dyDescent="0.25">
      <c r="G38" s="6"/>
      <c r="H38" s="4"/>
      <c r="I38" s="182"/>
      <c r="J38" s="183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35"/>
      <c r="I42" s="182"/>
      <c r="J42" s="183"/>
      <c r="K42" s="204" t="s">
        <v>339</v>
      </c>
      <c r="L42" s="205"/>
    </row>
    <row r="43" spans="1:12" ht="15.75" x14ac:dyDescent="0.25">
      <c r="G43" s="6"/>
      <c r="H43" s="35"/>
      <c r="I43" s="182"/>
      <c r="J43" s="183"/>
    </row>
    <row r="44" spans="1:12" ht="15.75" x14ac:dyDescent="0.25">
      <c r="G44" s="6"/>
      <c r="H44" s="35"/>
      <c r="I44" s="182"/>
      <c r="J44" s="183"/>
    </row>
    <row r="46" spans="1:12" x14ac:dyDescent="0.25">
      <c r="G46" s="180"/>
      <c r="H46" s="180"/>
      <c r="I46" s="180" t="s">
        <v>64</v>
      </c>
      <c r="J46" s="180"/>
      <c r="K46" s="180" t="s">
        <v>64</v>
      </c>
      <c r="L46" s="180"/>
    </row>
    <row r="47" spans="1:12" x14ac:dyDescent="0.25">
      <c r="G47" s="180"/>
      <c r="H47" s="180"/>
      <c r="I47" s="180" t="s">
        <v>65</v>
      </c>
      <c r="J47" s="180"/>
      <c r="K47" s="180" t="s">
        <v>67</v>
      </c>
      <c r="L47" s="180"/>
    </row>
  </sheetData>
  <mergeCells count="73">
    <mergeCell ref="D10:E10"/>
    <mergeCell ref="I10:J10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7:J7"/>
    <mergeCell ref="I8:J8"/>
    <mergeCell ref="I6:J6"/>
    <mergeCell ref="I9:J9"/>
    <mergeCell ref="I20:J20"/>
    <mergeCell ref="I11:J11"/>
    <mergeCell ref="I12:J12"/>
    <mergeCell ref="I13:J13"/>
    <mergeCell ref="I14:J14"/>
    <mergeCell ref="I15:J15"/>
    <mergeCell ref="I16:J16"/>
    <mergeCell ref="A17:B17"/>
    <mergeCell ref="I17:J17"/>
    <mergeCell ref="D18:E18"/>
    <mergeCell ref="I18:J18"/>
    <mergeCell ref="I19:J19"/>
    <mergeCell ref="A28:F30"/>
    <mergeCell ref="G30:J30"/>
    <mergeCell ref="K30:L30"/>
    <mergeCell ref="I21:J21"/>
    <mergeCell ref="I22:J22"/>
    <mergeCell ref="H23:L23"/>
    <mergeCell ref="A24:B24"/>
    <mergeCell ref="K24:L24"/>
    <mergeCell ref="G25:H25"/>
    <mergeCell ref="I25:J25"/>
    <mergeCell ref="K25:L25"/>
    <mergeCell ref="G26:H26"/>
    <mergeCell ref="I26:J26"/>
    <mergeCell ref="K26:L26"/>
    <mergeCell ref="D27:E27"/>
    <mergeCell ref="K27:L27"/>
    <mergeCell ref="K34:L34"/>
    <mergeCell ref="I31:J31"/>
    <mergeCell ref="K31:L31"/>
    <mergeCell ref="A32:B32"/>
    <mergeCell ref="C32:D32"/>
    <mergeCell ref="E32:F32"/>
    <mergeCell ref="I32:J32"/>
    <mergeCell ref="A33:B33"/>
    <mergeCell ref="C33:D33"/>
    <mergeCell ref="E33:F33"/>
    <mergeCell ref="I33:J33"/>
    <mergeCell ref="I34:J34"/>
    <mergeCell ref="I44:J44"/>
    <mergeCell ref="I35:J35"/>
    <mergeCell ref="K35:L35"/>
    <mergeCell ref="I36:J36"/>
    <mergeCell ref="I37:J37"/>
    <mergeCell ref="I38:J38"/>
    <mergeCell ref="I39:J39"/>
    <mergeCell ref="I40:J40"/>
    <mergeCell ref="I41:J41"/>
    <mergeCell ref="I42:J42"/>
    <mergeCell ref="K42:L42"/>
    <mergeCell ref="I43:J43"/>
    <mergeCell ref="G46:H46"/>
    <mergeCell ref="I46:J46"/>
    <mergeCell ref="K46:L46"/>
    <mergeCell ref="G47:H47"/>
    <mergeCell ref="I47:J47"/>
    <mergeCell ref="K47:L47"/>
  </mergeCells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L48"/>
  <sheetViews>
    <sheetView topLeftCell="G1" workbookViewId="0">
      <selection activeCell="K3" sqref="K3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323</v>
      </c>
      <c r="B1" s="184"/>
      <c r="C1" s="10"/>
      <c r="D1" s="199" t="s">
        <v>55</v>
      </c>
      <c r="E1" s="200"/>
      <c r="G1" s="184" t="s">
        <v>356</v>
      </c>
      <c r="H1" s="184"/>
      <c r="I1" s="184"/>
      <c r="J1" s="184"/>
      <c r="K1" s="184"/>
      <c r="L1" s="184"/>
    </row>
    <row r="2" spans="1:12" ht="18.75" x14ac:dyDescent="0.3">
      <c r="A2" s="184" t="s">
        <v>313</v>
      </c>
      <c r="B2" s="184"/>
      <c r="C2" s="10"/>
      <c r="D2" s="189"/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H24</f>
        <v>8500.23</v>
      </c>
      <c r="C3" s="11"/>
      <c r="D3" s="2"/>
      <c r="E3" s="2"/>
      <c r="G3" s="6">
        <v>42717</v>
      </c>
      <c r="H3" s="7">
        <v>585</v>
      </c>
      <c r="I3" s="187" t="s">
        <v>314</v>
      </c>
      <c r="J3" s="188"/>
      <c r="K3" s="8" t="s">
        <v>315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21"/>
      <c r="G4" s="6">
        <v>42720</v>
      </c>
      <c r="H4" s="7">
        <v>500</v>
      </c>
      <c r="I4" s="187" t="s">
        <v>165</v>
      </c>
      <c r="J4" s="188"/>
      <c r="K4" s="8" t="s">
        <v>329</v>
      </c>
      <c r="L4" s="8" t="s">
        <v>267</v>
      </c>
    </row>
    <row r="5" spans="1:12" ht="15.75" x14ac:dyDescent="0.25">
      <c r="A5" s="2" t="s">
        <v>4</v>
      </c>
      <c r="B5" s="3">
        <f>SUM(H33:H45)</f>
        <v>2467.39</v>
      </c>
      <c r="C5" s="11"/>
      <c r="D5" s="5"/>
      <c r="E5" s="21"/>
      <c r="G5" s="6">
        <v>42723</v>
      </c>
      <c r="H5" s="7">
        <v>550</v>
      </c>
      <c r="I5" s="187" t="s">
        <v>316</v>
      </c>
      <c r="J5" s="188"/>
      <c r="K5" s="8" t="s">
        <v>161</v>
      </c>
      <c r="L5" s="8" t="s">
        <v>267</v>
      </c>
    </row>
    <row r="6" spans="1:12" ht="15.75" x14ac:dyDescent="0.25">
      <c r="A6" s="2"/>
      <c r="B6" s="3"/>
      <c r="C6" s="11"/>
      <c r="D6" s="22"/>
      <c r="E6" s="21"/>
      <c r="G6" s="6">
        <v>42724</v>
      </c>
      <c r="H6" s="7">
        <v>500</v>
      </c>
      <c r="I6" s="36" t="s">
        <v>189</v>
      </c>
      <c r="J6" s="37"/>
      <c r="K6" s="8" t="s">
        <v>317</v>
      </c>
      <c r="L6" s="8" t="s">
        <v>267</v>
      </c>
    </row>
    <row r="7" spans="1:12" ht="15.75" x14ac:dyDescent="0.25">
      <c r="A7" s="12" t="s">
        <v>5</v>
      </c>
      <c r="B7" s="25">
        <f>B3+B4-B5</f>
        <v>6032.84</v>
      </c>
      <c r="C7" s="11"/>
      <c r="D7" s="22"/>
      <c r="E7" s="21"/>
      <c r="G7" s="6">
        <v>42724</v>
      </c>
      <c r="H7" s="7">
        <v>71</v>
      </c>
      <c r="I7" s="187" t="s">
        <v>319</v>
      </c>
      <c r="J7" s="188"/>
      <c r="K7" s="8" t="s">
        <v>318</v>
      </c>
      <c r="L7" s="8" t="s">
        <v>267</v>
      </c>
    </row>
    <row r="8" spans="1:12" ht="15.75" x14ac:dyDescent="0.25">
      <c r="A8" s="2"/>
      <c r="B8" s="3"/>
      <c r="C8" s="11"/>
      <c r="D8" s="22"/>
      <c r="E8" s="21"/>
      <c r="G8" s="6">
        <v>42724</v>
      </c>
      <c r="H8" s="7">
        <v>64</v>
      </c>
      <c r="I8" s="187" t="s">
        <v>320</v>
      </c>
      <c r="J8" s="188"/>
      <c r="K8" s="8" t="s">
        <v>318</v>
      </c>
      <c r="L8" s="8" t="s">
        <v>267</v>
      </c>
    </row>
    <row r="9" spans="1:12" ht="15.75" x14ac:dyDescent="0.25">
      <c r="A9" s="2" t="s">
        <v>14</v>
      </c>
      <c r="B9" s="3">
        <f>B7*0.1</f>
        <v>603.28399999999999</v>
      </c>
      <c r="C9" s="11"/>
      <c r="D9" s="23" t="s">
        <v>23</v>
      </c>
      <c r="E9" s="24">
        <f>SUM(E4:E8)</f>
        <v>0</v>
      </c>
      <c r="G9" s="6">
        <v>42724</v>
      </c>
      <c r="H9" s="7">
        <v>318</v>
      </c>
      <c r="I9" s="212" t="s">
        <v>321</v>
      </c>
      <c r="J9" s="213"/>
      <c r="K9" s="8" t="s">
        <v>318</v>
      </c>
      <c r="L9" s="8" t="s">
        <v>267</v>
      </c>
    </row>
    <row r="10" spans="1:12" ht="15.75" x14ac:dyDescent="0.25">
      <c r="A10" s="2"/>
      <c r="B10" s="3"/>
      <c r="C10" s="11"/>
      <c r="D10" s="189" t="s">
        <v>11</v>
      </c>
      <c r="E10" s="190"/>
      <c r="G10" s="6">
        <v>42724</v>
      </c>
      <c r="H10" s="7">
        <v>400</v>
      </c>
      <c r="I10" s="187" t="s">
        <v>290</v>
      </c>
      <c r="J10" s="188"/>
      <c r="K10" s="8" t="s">
        <v>324</v>
      </c>
      <c r="L10" s="8" t="s">
        <v>268</v>
      </c>
    </row>
    <row r="11" spans="1:12" ht="15.75" x14ac:dyDescent="0.25">
      <c r="A11" s="2" t="s">
        <v>59</v>
      </c>
      <c r="B11" s="3">
        <f>(B7-B9)/2</f>
        <v>2714.7780000000002</v>
      </c>
      <c r="C11" s="11"/>
      <c r="D11" s="2" t="s">
        <v>1</v>
      </c>
      <c r="E11" s="2" t="s">
        <v>6</v>
      </c>
      <c r="G11" s="6">
        <v>42731</v>
      </c>
      <c r="H11" s="7">
        <v>1200</v>
      </c>
      <c r="I11" s="187" t="s">
        <v>44</v>
      </c>
      <c r="J11" s="188"/>
      <c r="K11" s="8" t="s">
        <v>330</v>
      </c>
      <c r="L11" s="8" t="s">
        <v>268</v>
      </c>
    </row>
    <row r="12" spans="1:12" ht="15.75" x14ac:dyDescent="0.25">
      <c r="A12" s="2"/>
      <c r="B12" s="3"/>
      <c r="C12" s="11"/>
      <c r="D12" s="5">
        <v>42724</v>
      </c>
      <c r="E12" s="21">
        <v>1500</v>
      </c>
      <c r="G12" s="6">
        <v>43097</v>
      </c>
      <c r="H12" s="7">
        <v>14.73</v>
      </c>
      <c r="I12" s="212" t="s">
        <v>338</v>
      </c>
      <c r="J12" s="213"/>
      <c r="K12" s="8" t="s">
        <v>318</v>
      </c>
      <c r="L12" s="8" t="s">
        <v>267</v>
      </c>
    </row>
    <row r="13" spans="1:12" ht="15.75" x14ac:dyDescent="0.25">
      <c r="A13" s="2"/>
      <c r="B13" s="3"/>
      <c r="C13" s="11"/>
      <c r="D13" s="5">
        <v>42745</v>
      </c>
      <c r="E13" s="21">
        <v>200</v>
      </c>
      <c r="G13" s="6">
        <v>42733</v>
      </c>
      <c r="H13" s="7">
        <v>2185</v>
      </c>
      <c r="I13" s="212" t="s">
        <v>205</v>
      </c>
      <c r="J13" s="213"/>
      <c r="K13" s="8" t="s">
        <v>331</v>
      </c>
      <c r="L13" s="8" t="s">
        <v>268</v>
      </c>
    </row>
    <row r="14" spans="1:12" ht="15.75" x14ac:dyDescent="0.25">
      <c r="A14" s="2"/>
      <c r="B14" s="3"/>
      <c r="C14" s="11"/>
      <c r="D14" s="5">
        <v>42745</v>
      </c>
      <c r="E14" s="21">
        <v>180</v>
      </c>
      <c r="G14" s="6">
        <v>42737</v>
      </c>
      <c r="H14" s="7">
        <v>61.6</v>
      </c>
      <c r="I14" s="187" t="s">
        <v>337</v>
      </c>
      <c r="J14" s="188"/>
      <c r="K14" s="8" t="s">
        <v>318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42739</v>
      </c>
      <c r="H15" s="7">
        <v>1200</v>
      </c>
      <c r="I15" s="212" t="s">
        <v>341</v>
      </c>
      <c r="J15" s="213"/>
      <c r="K15" s="8" t="s">
        <v>318</v>
      </c>
      <c r="L15" s="8" t="s">
        <v>267</v>
      </c>
    </row>
    <row r="16" spans="1:12" ht="15.75" x14ac:dyDescent="0.25">
      <c r="A16" s="2"/>
      <c r="B16" s="2"/>
      <c r="C16" s="1"/>
      <c r="D16" s="22"/>
      <c r="E16" s="21"/>
      <c r="G16" s="6">
        <v>42739</v>
      </c>
      <c r="H16" s="7">
        <v>15.53</v>
      </c>
      <c r="I16" s="212" t="s">
        <v>347</v>
      </c>
      <c r="J16" s="213"/>
      <c r="K16" s="8" t="s">
        <v>318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SUM(E12:E16)</f>
        <v>1880</v>
      </c>
      <c r="G17" s="6">
        <v>42744</v>
      </c>
      <c r="H17" s="7">
        <v>50.72</v>
      </c>
      <c r="I17" s="187" t="s">
        <v>349</v>
      </c>
      <c r="J17" s="188"/>
      <c r="K17" s="8" t="s">
        <v>318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42744</v>
      </c>
      <c r="H18" s="7">
        <v>65.37</v>
      </c>
      <c r="I18" s="187" t="s">
        <v>350</v>
      </c>
      <c r="J18" s="188"/>
      <c r="K18" s="8" t="s">
        <v>318</v>
      </c>
      <c r="L18" s="8" t="s">
        <v>267</v>
      </c>
    </row>
    <row r="19" spans="1:12" ht="15.75" x14ac:dyDescent="0.25">
      <c r="A19" s="2" t="s">
        <v>57</v>
      </c>
      <c r="B19" s="3">
        <f>B11-E17</f>
        <v>834.77800000000025</v>
      </c>
      <c r="C19" s="1"/>
      <c r="D19" s="2" t="s">
        <v>1</v>
      </c>
      <c r="E19" s="2" t="s">
        <v>6</v>
      </c>
      <c r="G19" s="6">
        <v>42744</v>
      </c>
      <c r="H19" s="7">
        <v>28.86</v>
      </c>
      <c r="I19" s="212" t="s">
        <v>351</v>
      </c>
      <c r="J19" s="213"/>
      <c r="K19" s="8" t="s">
        <v>318</v>
      </c>
      <c r="L19" s="8" t="s">
        <v>267</v>
      </c>
    </row>
    <row r="20" spans="1:12" ht="15.75" x14ac:dyDescent="0.25">
      <c r="A20" s="2" t="s">
        <v>12</v>
      </c>
      <c r="B20" s="3">
        <f>B11-E25</f>
        <v>2714.7780000000002</v>
      </c>
      <c r="C20" s="1"/>
      <c r="D20" s="5"/>
      <c r="E20" s="21"/>
      <c r="G20" s="6">
        <v>42744</v>
      </c>
      <c r="H20" s="7">
        <v>67.78</v>
      </c>
      <c r="I20" s="187" t="s">
        <v>352</v>
      </c>
      <c r="J20" s="188"/>
      <c r="K20" s="8" t="s">
        <v>318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42744</v>
      </c>
      <c r="H21" s="7">
        <v>78.569999999999993</v>
      </c>
      <c r="I21" s="187" t="s">
        <v>353</v>
      </c>
      <c r="J21" s="188"/>
      <c r="K21" s="8" t="s">
        <v>318</v>
      </c>
      <c r="L21" s="8" t="s">
        <v>267</v>
      </c>
    </row>
    <row r="22" spans="1:12" ht="15.75" x14ac:dyDescent="0.25">
      <c r="A22" s="2"/>
      <c r="B22" s="2"/>
      <c r="C22" s="1"/>
      <c r="D22" s="22"/>
      <c r="E22" s="21"/>
      <c r="G22" s="6">
        <v>42744</v>
      </c>
      <c r="H22" s="7">
        <v>144.07</v>
      </c>
      <c r="I22" s="187" t="s">
        <v>355</v>
      </c>
      <c r="J22" s="188"/>
      <c r="K22" s="8" t="s">
        <v>318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42745</v>
      </c>
      <c r="H23" s="7">
        <v>400</v>
      </c>
      <c r="I23" s="211" t="s">
        <v>354</v>
      </c>
      <c r="J23" s="211"/>
      <c r="K23" s="8" t="s">
        <v>348</v>
      </c>
      <c r="L23" s="8" t="s">
        <v>267</v>
      </c>
    </row>
    <row r="24" spans="1:12" ht="15.75" x14ac:dyDescent="0.25">
      <c r="A24" s="196" t="s">
        <v>335</v>
      </c>
      <c r="B24" s="196"/>
      <c r="C24" s="1"/>
      <c r="D24" s="22"/>
      <c r="E24" s="21"/>
      <c r="F24" s="1"/>
      <c r="G24" s="6" t="s">
        <v>23</v>
      </c>
      <c r="H24" s="193">
        <f>SUM(H3:H23)</f>
        <v>8500.23</v>
      </c>
      <c r="I24" s="194"/>
      <c r="J24" s="194"/>
      <c r="K24" s="194"/>
      <c r="L24" s="195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"/>
      <c r="H25" s="1"/>
      <c r="I25" s="1"/>
      <c r="J25" s="1"/>
      <c r="K25" s="196" t="s">
        <v>335</v>
      </c>
      <c r="L25" s="196"/>
    </row>
    <row r="26" spans="1:12" ht="15.75" x14ac:dyDescent="0.25">
      <c r="A26" s="1"/>
      <c r="B26" s="1"/>
      <c r="C26" s="1"/>
      <c r="D26" s="17"/>
      <c r="E26" s="17"/>
      <c r="F26" s="1"/>
      <c r="G26" s="180"/>
      <c r="H26" s="180"/>
      <c r="I26" s="180" t="s">
        <v>69</v>
      </c>
      <c r="J26" s="180"/>
      <c r="K26" s="180" t="s">
        <v>69</v>
      </c>
      <c r="L26" s="180"/>
    </row>
    <row r="27" spans="1:12" ht="18.75" x14ac:dyDescent="0.3">
      <c r="A27" s="17"/>
      <c r="B27" s="17"/>
      <c r="C27" s="17"/>
      <c r="D27" s="178"/>
      <c r="E27" s="178"/>
      <c r="F27" s="9"/>
      <c r="G27" s="180"/>
      <c r="H27" s="180"/>
      <c r="I27" s="180" t="s">
        <v>65</v>
      </c>
      <c r="J27" s="180"/>
      <c r="K27" s="180" t="s">
        <v>67</v>
      </c>
      <c r="L27" s="180"/>
    </row>
    <row r="28" spans="1:12" ht="15" customHeight="1" x14ac:dyDescent="0.25">
      <c r="A28" s="209"/>
      <c r="B28" s="209"/>
      <c r="C28" s="209"/>
      <c r="D28" s="209"/>
      <c r="E28" s="209"/>
      <c r="F28" s="209"/>
      <c r="K28" s="180"/>
      <c r="L28" s="180"/>
    </row>
    <row r="29" spans="1:12" ht="15" customHeight="1" x14ac:dyDescent="0.25">
      <c r="A29" s="209"/>
      <c r="B29" s="209"/>
      <c r="C29" s="209"/>
      <c r="D29" s="209"/>
      <c r="E29" s="209"/>
      <c r="F29" s="209"/>
      <c r="K29" s="18"/>
      <c r="L29" s="18"/>
    </row>
    <row r="30" spans="1:12" ht="15" customHeight="1" x14ac:dyDescent="0.25">
      <c r="A30" s="209"/>
      <c r="B30" s="209"/>
      <c r="C30" s="209"/>
      <c r="D30" s="209"/>
      <c r="E30" s="209"/>
      <c r="F30" s="209"/>
      <c r="K30" s="18"/>
      <c r="L30" s="18"/>
    </row>
    <row r="31" spans="1:12" ht="18.75" x14ac:dyDescent="0.3">
      <c r="A31" s="17"/>
      <c r="B31" s="29"/>
      <c r="C31" s="29"/>
      <c r="D31" s="29"/>
      <c r="E31" s="20"/>
      <c r="F31" s="1"/>
      <c r="G31" s="199" t="s">
        <v>25</v>
      </c>
      <c r="H31" s="207"/>
      <c r="I31" s="207"/>
      <c r="J31" s="200"/>
      <c r="K31" s="180"/>
      <c r="L31" s="180"/>
    </row>
    <row r="32" spans="1:12" ht="15.75" x14ac:dyDescent="0.25">
      <c r="A32" s="178"/>
      <c r="B32" s="178"/>
      <c r="C32" s="178"/>
      <c r="D32" s="178"/>
      <c r="E32" s="178"/>
      <c r="F32" s="214"/>
      <c r="G32" s="2" t="s">
        <v>1</v>
      </c>
      <c r="H32" s="2" t="s">
        <v>6</v>
      </c>
      <c r="I32" s="182" t="s">
        <v>13</v>
      </c>
      <c r="J32" s="183"/>
      <c r="K32" s="180"/>
      <c r="L32" s="180"/>
    </row>
    <row r="33" spans="1:12" ht="15.75" x14ac:dyDescent="0.25">
      <c r="A33" s="180"/>
      <c r="B33" s="180"/>
      <c r="C33" s="180"/>
      <c r="D33" s="180"/>
      <c r="E33" s="180"/>
      <c r="F33" s="206"/>
      <c r="G33" s="6">
        <v>42726</v>
      </c>
      <c r="H33" s="7">
        <v>139.04</v>
      </c>
      <c r="I33" s="182" t="s">
        <v>332</v>
      </c>
      <c r="J33" s="183"/>
      <c r="K33" s="18"/>
      <c r="L33" s="18"/>
    </row>
    <row r="34" spans="1:12" ht="15.75" x14ac:dyDescent="0.25">
      <c r="G34" s="6">
        <v>42726</v>
      </c>
      <c r="H34" s="4">
        <v>55.73</v>
      </c>
      <c r="I34" s="182" t="s">
        <v>333</v>
      </c>
      <c r="J34" s="183"/>
      <c r="K34" s="18"/>
      <c r="L34" s="18"/>
    </row>
    <row r="35" spans="1:12" ht="15.75" x14ac:dyDescent="0.25">
      <c r="G35" s="6">
        <v>42726</v>
      </c>
      <c r="H35" s="3">
        <v>115.88</v>
      </c>
      <c r="I35" s="182" t="s">
        <v>334</v>
      </c>
      <c r="J35" s="183"/>
      <c r="K35" s="180"/>
      <c r="L35" s="180"/>
    </row>
    <row r="36" spans="1:12" ht="15.75" x14ac:dyDescent="0.25">
      <c r="G36" s="6">
        <v>42738</v>
      </c>
      <c r="H36" s="4">
        <v>137.76</v>
      </c>
      <c r="I36" s="182" t="s">
        <v>340</v>
      </c>
      <c r="J36" s="183"/>
      <c r="K36" s="180"/>
      <c r="L36" s="180"/>
    </row>
    <row r="37" spans="1:12" ht="15.75" x14ac:dyDescent="0.25">
      <c r="G37" s="6">
        <v>42738</v>
      </c>
      <c r="H37" s="4">
        <v>114.98</v>
      </c>
      <c r="I37" s="182" t="s">
        <v>342</v>
      </c>
      <c r="J37" s="183"/>
    </row>
    <row r="38" spans="1:12" ht="15.75" x14ac:dyDescent="0.25">
      <c r="G38" s="6">
        <v>42741</v>
      </c>
      <c r="H38" s="4">
        <v>200</v>
      </c>
      <c r="I38" s="182" t="s">
        <v>343</v>
      </c>
      <c r="J38" s="183"/>
    </row>
    <row r="39" spans="1:12" ht="15.75" x14ac:dyDescent="0.25">
      <c r="G39" s="6">
        <v>42741</v>
      </c>
      <c r="H39" s="4">
        <v>20</v>
      </c>
      <c r="I39" s="182" t="s">
        <v>346</v>
      </c>
      <c r="J39" s="183"/>
    </row>
    <row r="40" spans="1:12" ht="15.75" x14ac:dyDescent="0.25">
      <c r="G40" s="6">
        <v>42744</v>
      </c>
      <c r="H40" s="4">
        <v>88</v>
      </c>
      <c r="I40" s="182" t="s">
        <v>344</v>
      </c>
      <c r="J40" s="183"/>
    </row>
    <row r="41" spans="1:12" ht="15.75" x14ac:dyDescent="0.25">
      <c r="G41" s="6">
        <v>42744</v>
      </c>
      <c r="H41" s="4">
        <v>1500</v>
      </c>
      <c r="I41" s="182" t="s">
        <v>173</v>
      </c>
      <c r="J41" s="183"/>
    </row>
    <row r="42" spans="1:12" ht="15.75" x14ac:dyDescent="0.25">
      <c r="G42" s="6">
        <v>42744</v>
      </c>
      <c r="H42" s="4">
        <v>96</v>
      </c>
      <c r="I42" s="182" t="s">
        <v>345</v>
      </c>
      <c r="J42" s="183"/>
    </row>
    <row r="43" spans="1:12" ht="15.75" x14ac:dyDescent="0.25">
      <c r="G43" s="6"/>
      <c r="H43" s="35"/>
      <c r="I43" s="182"/>
      <c r="J43" s="183"/>
      <c r="K43" s="204" t="s">
        <v>336</v>
      </c>
      <c r="L43" s="205"/>
    </row>
    <row r="44" spans="1:12" ht="15.75" x14ac:dyDescent="0.25">
      <c r="G44" s="6"/>
      <c r="H44" s="35"/>
      <c r="I44" s="182"/>
      <c r="J44" s="183"/>
    </row>
    <row r="45" spans="1:12" ht="15.75" x14ac:dyDescent="0.25">
      <c r="G45" s="6"/>
      <c r="H45" s="35"/>
      <c r="I45" s="182"/>
      <c r="J45" s="183"/>
    </row>
    <row r="47" spans="1:12" x14ac:dyDescent="0.25">
      <c r="G47" s="180"/>
      <c r="H47" s="180"/>
      <c r="I47" s="180" t="s">
        <v>64</v>
      </c>
      <c r="J47" s="180"/>
      <c r="K47" s="180" t="s">
        <v>64</v>
      </c>
      <c r="L47" s="180"/>
    </row>
    <row r="48" spans="1:12" x14ac:dyDescent="0.25">
      <c r="G48" s="180"/>
      <c r="H48" s="180"/>
      <c r="I48" s="180" t="s">
        <v>65</v>
      </c>
      <c r="J48" s="180"/>
      <c r="K48" s="180" t="s">
        <v>67</v>
      </c>
      <c r="L48" s="180"/>
    </row>
  </sheetData>
  <mergeCells count="73">
    <mergeCell ref="I36:J36"/>
    <mergeCell ref="K36:L36"/>
    <mergeCell ref="I37:J37"/>
    <mergeCell ref="I38:J38"/>
    <mergeCell ref="I35:J35"/>
    <mergeCell ref="I34:J34"/>
    <mergeCell ref="G48:H48"/>
    <mergeCell ref="I48:J48"/>
    <mergeCell ref="K48:L48"/>
    <mergeCell ref="I39:J39"/>
    <mergeCell ref="I40:J40"/>
    <mergeCell ref="I41:J41"/>
    <mergeCell ref="I42:J42"/>
    <mergeCell ref="I43:J43"/>
    <mergeCell ref="K43:L43"/>
    <mergeCell ref="I44:J44"/>
    <mergeCell ref="I45:J45"/>
    <mergeCell ref="G47:H47"/>
    <mergeCell ref="I47:J47"/>
    <mergeCell ref="K47:L47"/>
    <mergeCell ref="K35:L35"/>
    <mergeCell ref="A32:B32"/>
    <mergeCell ref="C32:D32"/>
    <mergeCell ref="E32:F32"/>
    <mergeCell ref="I33:J33"/>
    <mergeCell ref="A33:B33"/>
    <mergeCell ref="C33:D33"/>
    <mergeCell ref="E33:F33"/>
    <mergeCell ref="I32:J32"/>
    <mergeCell ref="D27:E27"/>
    <mergeCell ref="K28:L28"/>
    <mergeCell ref="A28:F30"/>
    <mergeCell ref="G31:J31"/>
    <mergeCell ref="K31:L31"/>
    <mergeCell ref="K32:L32"/>
    <mergeCell ref="G26:H26"/>
    <mergeCell ref="I26:J26"/>
    <mergeCell ref="K26:L26"/>
    <mergeCell ref="G27:H27"/>
    <mergeCell ref="I27:J27"/>
    <mergeCell ref="K27:L27"/>
    <mergeCell ref="K25:L25"/>
    <mergeCell ref="I16:J16"/>
    <mergeCell ref="A17:B17"/>
    <mergeCell ref="I17:J17"/>
    <mergeCell ref="D18:E18"/>
    <mergeCell ref="I18:J18"/>
    <mergeCell ref="I19:J19"/>
    <mergeCell ref="I20:J20"/>
    <mergeCell ref="I21:J21"/>
    <mergeCell ref="I23:J23"/>
    <mergeCell ref="H24:L24"/>
    <mergeCell ref="D10:E10"/>
    <mergeCell ref="I3:J3"/>
    <mergeCell ref="I4:J4"/>
    <mergeCell ref="I5:J5"/>
    <mergeCell ref="A24:B24"/>
    <mergeCell ref="I15:J15"/>
    <mergeCell ref="I13:J13"/>
    <mergeCell ref="I22:J22"/>
    <mergeCell ref="I7:J7"/>
    <mergeCell ref="I8:J8"/>
    <mergeCell ref="I9:J9"/>
    <mergeCell ref="I10:J10"/>
    <mergeCell ref="I11:J11"/>
    <mergeCell ref="I12:J12"/>
    <mergeCell ref="I14:J14"/>
    <mergeCell ref="A1:B1"/>
    <mergeCell ref="D1:E1"/>
    <mergeCell ref="G1:L1"/>
    <mergeCell ref="A2:B2"/>
    <mergeCell ref="D2:E2"/>
    <mergeCell ref="I2:J2"/>
  </mergeCells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L64"/>
  <sheetViews>
    <sheetView topLeftCell="G28" workbookViewId="0">
      <selection activeCell="G28" sqref="G28:K28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357</v>
      </c>
      <c r="B1" s="184"/>
      <c r="C1" s="10"/>
      <c r="D1" s="199" t="s">
        <v>55</v>
      </c>
      <c r="E1" s="200"/>
      <c r="G1" s="184" t="s">
        <v>360</v>
      </c>
      <c r="H1" s="184"/>
      <c r="I1" s="184"/>
      <c r="J1" s="184"/>
      <c r="K1" s="184"/>
      <c r="L1" s="184"/>
    </row>
    <row r="2" spans="1:12" ht="18.75" x14ac:dyDescent="0.3">
      <c r="A2" s="184" t="s">
        <v>358</v>
      </c>
      <c r="B2" s="184"/>
      <c r="C2" s="10"/>
      <c r="D2" s="189"/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H40</f>
        <v>13389.490000000002</v>
      </c>
      <c r="C3" s="11"/>
      <c r="D3" s="2"/>
      <c r="E3" s="2"/>
      <c r="G3" s="6">
        <v>42745</v>
      </c>
      <c r="H3" s="7">
        <v>500</v>
      </c>
      <c r="I3" s="187" t="s">
        <v>46</v>
      </c>
      <c r="J3" s="188"/>
      <c r="K3" s="8" t="s">
        <v>304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21"/>
      <c r="G4" s="6">
        <v>42746</v>
      </c>
      <c r="H4" s="7">
        <v>50.07</v>
      </c>
      <c r="I4" s="187" t="s">
        <v>371</v>
      </c>
      <c r="J4" s="188"/>
      <c r="K4" s="8" t="s">
        <v>318</v>
      </c>
      <c r="L4" s="8" t="s">
        <v>267</v>
      </c>
    </row>
    <row r="5" spans="1:12" ht="15.75" x14ac:dyDescent="0.25">
      <c r="A5" s="2" t="s">
        <v>4</v>
      </c>
      <c r="B5" s="3">
        <f>SUM(H49:H61)</f>
        <v>2519.81</v>
      </c>
      <c r="C5" s="11"/>
      <c r="D5" s="5"/>
      <c r="E5" s="21"/>
      <c r="G5" s="6">
        <v>42747</v>
      </c>
      <c r="H5" s="7">
        <v>500</v>
      </c>
      <c r="I5" s="187" t="s">
        <v>46</v>
      </c>
      <c r="J5" s="188"/>
      <c r="K5" s="8" t="s">
        <v>410</v>
      </c>
      <c r="L5" s="8" t="s">
        <v>268</v>
      </c>
    </row>
    <row r="6" spans="1:12" ht="15.75" x14ac:dyDescent="0.25">
      <c r="A6" s="2"/>
      <c r="B6" s="3"/>
      <c r="C6" s="11"/>
      <c r="D6" s="22"/>
      <c r="E6" s="21"/>
      <c r="G6" s="6">
        <v>42751</v>
      </c>
      <c r="H6" s="7">
        <v>500</v>
      </c>
      <c r="I6" s="187" t="s">
        <v>162</v>
      </c>
      <c r="J6" s="188"/>
      <c r="K6" s="8" t="s">
        <v>362</v>
      </c>
      <c r="L6" s="8" t="s">
        <v>267</v>
      </c>
    </row>
    <row r="7" spans="1:12" ht="15.75" x14ac:dyDescent="0.25">
      <c r="A7" s="12" t="s">
        <v>5</v>
      </c>
      <c r="B7" s="25">
        <f>B3+B4-B5</f>
        <v>10869.680000000002</v>
      </c>
      <c r="C7" s="11"/>
      <c r="D7" s="22"/>
      <c r="E7" s="21"/>
      <c r="G7" s="6">
        <v>42752</v>
      </c>
      <c r="H7" s="7">
        <v>33.380000000000003</v>
      </c>
      <c r="I7" s="187" t="s">
        <v>364</v>
      </c>
      <c r="J7" s="188"/>
      <c r="K7" s="8" t="s">
        <v>318</v>
      </c>
      <c r="L7" s="8" t="s">
        <v>267</v>
      </c>
    </row>
    <row r="8" spans="1:12" ht="15.75" x14ac:dyDescent="0.25">
      <c r="A8" s="2"/>
      <c r="B8" s="3"/>
      <c r="C8" s="11"/>
      <c r="D8" s="22"/>
      <c r="E8" s="21"/>
      <c r="G8" s="6">
        <v>42752</v>
      </c>
      <c r="H8" s="7">
        <v>14.73</v>
      </c>
      <c r="I8" s="187" t="s">
        <v>365</v>
      </c>
      <c r="J8" s="188"/>
      <c r="K8" s="8" t="s">
        <v>318</v>
      </c>
      <c r="L8" s="8" t="s">
        <v>267</v>
      </c>
    </row>
    <row r="9" spans="1:12" ht="15.75" x14ac:dyDescent="0.25">
      <c r="A9" s="2" t="s">
        <v>14</v>
      </c>
      <c r="B9" s="3">
        <f>B7*0.1</f>
        <v>1086.9680000000003</v>
      </c>
      <c r="C9" s="11"/>
      <c r="D9" s="23" t="s">
        <v>23</v>
      </c>
      <c r="E9" s="24">
        <f>SUM(E4:E8)</f>
        <v>0</v>
      </c>
      <c r="G9" s="6">
        <v>42752</v>
      </c>
      <c r="H9" s="7">
        <v>500</v>
      </c>
      <c r="I9" s="187" t="s">
        <v>162</v>
      </c>
      <c r="J9" s="188"/>
      <c r="K9" s="8" t="s">
        <v>2263</v>
      </c>
      <c r="L9" s="8" t="s">
        <v>267</v>
      </c>
    </row>
    <row r="10" spans="1:12" ht="15.75" x14ac:dyDescent="0.25">
      <c r="A10" s="2"/>
      <c r="B10" s="3"/>
      <c r="C10" s="11"/>
      <c r="D10" s="189" t="s">
        <v>11</v>
      </c>
      <c r="E10" s="190"/>
      <c r="G10" s="6">
        <v>42753</v>
      </c>
      <c r="H10" s="7">
        <v>300</v>
      </c>
      <c r="I10" s="187" t="s">
        <v>366</v>
      </c>
      <c r="J10" s="188"/>
      <c r="K10" s="8" t="s">
        <v>367</v>
      </c>
      <c r="L10" s="8" t="s">
        <v>268</v>
      </c>
    </row>
    <row r="11" spans="1:12" ht="15.75" x14ac:dyDescent="0.25">
      <c r="A11" s="2" t="s">
        <v>59</v>
      </c>
      <c r="B11" s="3">
        <f>(B7-B9)/2</f>
        <v>4891.3560000000007</v>
      </c>
      <c r="C11" s="11"/>
      <c r="D11" s="2" t="s">
        <v>1</v>
      </c>
      <c r="E11" s="2" t="s">
        <v>6</v>
      </c>
      <c r="G11" s="6">
        <v>42753</v>
      </c>
      <c r="H11" s="7">
        <v>400</v>
      </c>
      <c r="I11" s="187" t="s">
        <v>366</v>
      </c>
      <c r="J11" s="188"/>
      <c r="K11" s="8" t="s">
        <v>368</v>
      </c>
      <c r="L11" s="8" t="s">
        <v>268</v>
      </c>
    </row>
    <row r="12" spans="1:12" ht="15.75" x14ac:dyDescent="0.25">
      <c r="A12" s="2"/>
      <c r="B12" s="3"/>
      <c r="C12" s="11"/>
      <c r="D12" s="5">
        <v>42752</v>
      </c>
      <c r="E12" s="21">
        <v>591.6</v>
      </c>
      <c r="G12" s="6">
        <v>42753</v>
      </c>
      <c r="H12" s="7">
        <v>400</v>
      </c>
      <c r="I12" s="212" t="s">
        <v>369</v>
      </c>
      <c r="J12" s="213"/>
      <c r="K12" s="8" t="s">
        <v>324</v>
      </c>
      <c r="L12" s="8" t="s">
        <v>268</v>
      </c>
    </row>
    <row r="13" spans="1:12" ht="15.75" x14ac:dyDescent="0.25">
      <c r="A13" s="2"/>
      <c r="B13" s="3"/>
      <c r="C13" s="11"/>
      <c r="D13" s="5">
        <v>42762</v>
      </c>
      <c r="E13" s="21">
        <v>130</v>
      </c>
      <c r="G13" s="6">
        <v>42753</v>
      </c>
      <c r="H13" s="7">
        <v>80</v>
      </c>
      <c r="I13" s="187"/>
      <c r="J13" s="188"/>
      <c r="K13" s="8"/>
      <c r="L13" s="8"/>
    </row>
    <row r="14" spans="1:12" ht="15.75" x14ac:dyDescent="0.25">
      <c r="A14" s="2"/>
      <c r="B14" s="3"/>
      <c r="C14" s="11"/>
      <c r="D14" s="5"/>
      <c r="E14" s="21"/>
      <c r="G14" s="6">
        <v>42754</v>
      </c>
      <c r="H14" s="7">
        <v>500</v>
      </c>
      <c r="I14" s="187" t="s">
        <v>366</v>
      </c>
      <c r="J14" s="188"/>
      <c r="K14" s="8" t="s">
        <v>370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42758</v>
      </c>
      <c r="H15" s="7">
        <v>600</v>
      </c>
      <c r="I15" s="212" t="s">
        <v>372</v>
      </c>
      <c r="J15" s="213"/>
      <c r="K15" s="8" t="s">
        <v>373</v>
      </c>
      <c r="L15" s="8" t="s">
        <v>268</v>
      </c>
    </row>
    <row r="16" spans="1:12" ht="15.75" x14ac:dyDescent="0.25">
      <c r="A16" s="2"/>
      <c r="B16" s="2"/>
      <c r="C16" s="1"/>
      <c r="D16" s="22"/>
      <c r="E16" s="21"/>
      <c r="G16" s="6">
        <v>42758</v>
      </c>
      <c r="H16" s="7">
        <v>500</v>
      </c>
      <c r="I16" s="187" t="s">
        <v>366</v>
      </c>
      <c r="J16" s="188"/>
      <c r="K16" s="8" t="s">
        <v>374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SUM(E12:E16)</f>
        <v>721.6</v>
      </c>
      <c r="G17" s="6">
        <v>42759</v>
      </c>
      <c r="H17" s="7">
        <v>200</v>
      </c>
      <c r="I17" s="212" t="s">
        <v>375</v>
      </c>
      <c r="J17" s="213"/>
      <c r="K17" s="8" t="s">
        <v>376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42760</v>
      </c>
      <c r="H18" s="7">
        <v>15.17</v>
      </c>
      <c r="I18" s="212" t="s">
        <v>408</v>
      </c>
      <c r="J18" s="213"/>
      <c r="K18" s="8" t="s">
        <v>318</v>
      </c>
      <c r="L18" s="8" t="s">
        <v>267</v>
      </c>
    </row>
    <row r="19" spans="1:12" ht="15.75" x14ac:dyDescent="0.25">
      <c r="A19" s="2" t="s">
        <v>57</v>
      </c>
      <c r="B19" s="3">
        <f>B11-E17</f>
        <v>4169.7560000000003</v>
      </c>
      <c r="C19" s="1"/>
      <c r="D19" s="2" t="s">
        <v>1</v>
      </c>
      <c r="E19" s="2" t="s">
        <v>6</v>
      </c>
      <c r="G19" s="6">
        <v>42760</v>
      </c>
      <c r="H19" s="7">
        <v>86.01</v>
      </c>
      <c r="I19" s="212" t="s">
        <v>404</v>
      </c>
      <c r="J19" s="213"/>
      <c r="K19" s="8" t="s">
        <v>318</v>
      </c>
      <c r="L19" s="8" t="s">
        <v>267</v>
      </c>
    </row>
    <row r="20" spans="1:12" ht="15.75" x14ac:dyDescent="0.25">
      <c r="A20" s="2" t="s">
        <v>12</v>
      </c>
      <c r="B20" s="3">
        <f>B11-E25</f>
        <v>4891.3560000000007</v>
      </c>
      <c r="C20" s="1"/>
      <c r="D20" s="5"/>
      <c r="E20" s="21"/>
      <c r="G20" s="6">
        <v>42761</v>
      </c>
      <c r="H20" s="7">
        <v>66.599999999999994</v>
      </c>
      <c r="I20" s="212" t="s">
        <v>407</v>
      </c>
      <c r="J20" s="213"/>
      <c r="K20" s="8" t="s">
        <v>318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42761</v>
      </c>
      <c r="H21" s="7">
        <v>1000</v>
      </c>
      <c r="I21" s="212" t="s">
        <v>377</v>
      </c>
      <c r="J21" s="213"/>
      <c r="K21" s="8" t="s">
        <v>378</v>
      </c>
      <c r="L21" s="8" t="s">
        <v>267</v>
      </c>
    </row>
    <row r="22" spans="1:12" ht="15.75" x14ac:dyDescent="0.25">
      <c r="A22" s="2"/>
      <c r="B22" s="2"/>
      <c r="C22" s="1"/>
      <c r="D22" s="22"/>
      <c r="E22" s="21"/>
      <c r="G22" s="6">
        <v>42762</v>
      </c>
      <c r="H22" s="7">
        <v>100</v>
      </c>
      <c r="I22" s="187" t="s">
        <v>379</v>
      </c>
      <c r="J22" s="188"/>
      <c r="K22" s="8" t="s">
        <v>326</v>
      </c>
      <c r="L22" s="8" t="s">
        <v>268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42762</v>
      </c>
      <c r="H23" s="7">
        <v>15.51</v>
      </c>
      <c r="I23" s="187" t="s">
        <v>380</v>
      </c>
      <c r="J23" s="188"/>
      <c r="K23" s="8" t="s">
        <v>318</v>
      </c>
      <c r="L23" s="8" t="s">
        <v>267</v>
      </c>
    </row>
    <row r="24" spans="1:12" ht="15.75" x14ac:dyDescent="0.25">
      <c r="A24" s="196" t="s">
        <v>359</v>
      </c>
      <c r="B24" s="196"/>
      <c r="C24" s="1"/>
      <c r="D24" s="22"/>
      <c r="E24" s="21"/>
      <c r="F24" s="1"/>
      <c r="G24" s="6">
        <v>42762</v>
      </c>
      <c r="H24" s="7">
        <v>300</v>
      </c>
      <c r="I24" s="212" t="s">
        <v>366</v>
      </c>
      <c r="J24" s="213"/>
      <c r="K24" s="8" t="s">
        <v>381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42765</v>
      </c>
      <c r="H25" s="7">
        <v>274.55</v>
      </c>
      <c r="I25" s="212" t="s">
        <v>406</v>
      </c>
      <c r="J25" s="213"/>
      <c r="K25" s="8" t="s">
        <v>318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42765</v>
      </c>
      <c r="H26" s="7">
        <v>250</v>
      </c>
      <c r="I26" s="187" t="s">
        <v>366</v>
      </c>
      <c r="J26" s="188"/>
      <c r="K26" s="8" t="s">
        <v>374</v>
      </c>
      <c r="L26" s="8" t="s">
        <v>268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42766</v>
      </c>
      <c r="H27" s="7">
        <v>29.9</v>
      </c>
      <c r="I27" s="187" t="s">
        <v>405</v>
      </c>
      <c r="J27" s="188"/>
      <c r="K27" s="8" t="s">
        <v>318</v>
      </c>
      <c r="L27" s="8" t="s">
        <v>267</v>
      </c>
    </row>
    <row r="28" spans="1:12" ht="15.75" x14ac:dyDescent="0.25">
      <c r="A28" s="209"/>
      <c r="B28" s="209"/>
      <c r="C28" s="209"/>
      <c r="D28" s="209"/>
      <c r="E28" s="209"/>
      <c r="F28" s="209"/>
      <c r="G28" s="6">
        <v>42766</v>
      </c>
      <c r="H28" s="7">
        <v>500</v>
      </c>
      <c r="I28" s="187" t="s">
        <v>366</v>
      </c>
      <c r="J28" s="188"/>
      <c r="K28" s="8" t="s">
        <v>382</v>
      </c>
      <c r="L28" s="8" t="s">
        <v>267</v>
      </c>
    </row>
    <row r="29" spans="1:12" ht="15.75" x14ac:dyDescent="0.25">
      <c r="A29" s="209"/>
      <c r="B29" s="209"/>
      <c r="C29" s="209"/>
      <c r="D29" s="209"/>
      <c r="E29" s="209"/>
      <c r="F29" s="209"/>
      <c r="G29" s="6">
        <v>42766</v>
      </c>
      <c r="H29" s="7">
        <v>500</v>
      </c>
      <c r="I29" s="211" t="s">
        <v>366</v>
      </c>
      <c r="J29" s="211"/>
      <c r="K29" s="8" t="s">
        <v>383</v>
      </c>
      <c r="L29" s="8" t="s">
        <v>268</v>
      </c>
    </row>
    <row r="30" spans="1:12" ht="15.75" x14ac:dyDescent="0.25">
      <c r="A30" s="209"/>
      <c r="B30" s="209"/>
      <c r="C30" s="209"/>
      <c r="D30" s="209"/>
      <c r="E30" s="209"/>
      <c r="F30" s="209"/>
      <c r="G30" s="6">
        <v>42768</v>
      </c>
      <c r="H30" s="7">
        <v>250</v>
      </c>
      <c r="I30" s="212"/>
      <c r="J30" s="213"/>
      <c r="K30" s="8"/>
      <c r="L30" s="8"/>
    </row>
    <row r="31" spans="1:12" ht="15.75" x14ac:dyDescent="0.25">
      <c r="A31" s="17"/>
      <c r="B31" s="29"/>
      <c r="C31" s="29"/>
      <c r="D31" s="29"/>
      <c r="E31" s="20"/>
      <c r="F31" s="1"/>
      <c r="G31" s="6">
        <v>42768</v>
      </c>
      <c r="H31" s="7">
        <v>300</v>
      </c>
      <c r="I31" s="187" t="s">
        <v>366</v>
      </c>
      <c r="J31" s="188"/>
      <c r="K31" s="8" t="s">
        <v>411</v>
      </c>
      <c r="L31" s="8" t="s">
        <v>267</v>
      </c>
    </row>
    <row r="32" spans="1:12" ht="15.75" x14ac:dyDescent="0.25">
      <c r="A32" s="178"/>
      <c r="B32" s="178"/>
      <c r="C32" s="178"/>
      <c r="D32" s="178"/>
      <c r="E32" s="178"/>
      <c r="F32" s="178"/>
      <c r="G32" s="6">
        <v>42772</v>
      </c>
      <c r="H32" s="7">
        <v>700</v>
      </c>
      <c r="I32" s="187" t="s">
        <v>366</v>
      </c>
      <c r="J32" s="188"/>
      <c r="K32" s="8" t="s">
        <v>384</v>
      </c>
      <c r="L32" s="8" t="s">
        <v>267</v>
      </c>
    </row>
    <row r="33" spans="1:12" ht="15.75" x14ac:dyDescent="0.25">
      <c r="A33" s="180"/>
      <c r="B33" s="180"/>
      <c r="C33" s="180"/>
      <c r="D33" s="180"/>
      <c r="E33" s="180"/>
      <c r="F33" s="180"/>
      <c r="G33" s="6">
        <v>42775</v>
      </c>
      <c r="H33" s="7">
        <v>48.57</v>
      </c>
      <c r="I33" s="187" t="s">
        <v>387</v>
      </c>
      <c r="J33" s="188"/>
      <c r="K33" s="8" t="s">
        <v>318</v>
      </c>
      <c r="L33" s="8" t="s">
        <v>267</v>
      </c>
    </row>
    <row r="34" spans="1:12" ht="15.75" x14ac:dyDescent="0.25">
      <c r="G34" s="6">
        <v>42775</v>
      </c>
      <c r="H34" s="7">
        <v>400</v>
      </c>
      <c r="I34" s="187" t="s">
        <v>389</v>
      </c>
      <c r="J34" s="188"/>
      <c r="K34" s="8" t="s">
        <v>390</v>
      </c>
      <c r="L34" s="8" t="s">
        <v>267</v>
      </c>
    </row>
    <row r="35" spans="1:12" ht="15.75" x14ac:dyDescent="0.25">
      <c r="G35" s="6">
        <v>42776</v>
      </c>
      <c r="H35" s="7">
        <v>1500</v>
      </c>
      <c r="I35" s="187" t="s">
        <v>366</v>
      </c>
      <c r="J35" s="188"/>
      <c r="K35" s="8" t="s">
        <v>394</v>
      </c>
      <c r="L35" s="8" t="s">
        <v>268</v>
      </c>
    </row>
    <row r="36" spans="1:12" ht="15.75" x14ac:dyDescent="0.25">
      <c r="G36" s="6">
        <v>42776</v>
      </c>
      <c r="H36" s="7">
        <v>500</v>
      </c>
      <c r="I36" s="187" t="s">
        <v>162</v>
      </c>
      <c r="J36" s="188"/>
      <c r="K36" s="8" t="s">
        <v>2263</v>
      </c>
      <c r="L36" s="8" t="s">
        <v>267</v>
      </c>
    </row>
    <row r="37" spans="1:12" ht="15.75" x14ac:dyDescent="0.25">
      <c r="G37" s="6">
        <v>42776</v>
      </c>
      <c r="H37" s="7">
        <v>1000</v>
      </c>
      <c r="I37" s="187" t="s">
        <v>391</v>
      </c>
      <c r="J37" s="188"/>
      <c r="K37" s="8" t="s">
        <v>2226</v>
      </c>
      <c r="L37" s="8" t="s">
        <v>267</v>
      </c>
    </row>
    <row r="38" spans="1:12" ht="15.75" x14ac:dyDescent="0.25">
      <c r="G38" s="6">
        <v>42776</v>
      </c>
      <c r="H38" s="7">
        <v>100</v>
      </c>
      <c r="I38" s="187" t="s">
        <v>392</v>
      </c>
      <c r="J38" s="188"/>
      <c r="K38" s="8" t="s">
        <v>393</v>
      </c>
      <c r="L38" s="8" t="s">
        <v>267</v>
      </c>
    </row>
    <row r="39" spans="1:12" ht="15.75" x14ac:dyDescent="0.25">
      <c r="G39" s="6">
        <v>42776</v>
      </c>
      <c r="H39" s="7">
        <v>375</v>
      </c>
      <c r="I39" s="211" t="s">
        <v>46</v>
      </c>
      <c r="J39" s="211"/>
      <c r="K39" s="8" t="s">
        <v>218</v>
      </c>
      <c r="L39" s="8" t="s">
        <v>268</v>
      </c>
    </row>
    <row r="40" spans="1:12" ht="15.75" x14ac:dyDescent="0.25">
      <c r="G40" s="6" t="s">
        <v>23</v>
      </c>
      <c r="H40" s="193">
        <f>SUM(H3:H39)</f>
        <v>13389.490000000002</v>
      </c>
      <c r="I40" s="194"/>
      <c r="J40" s="194"/>
      <c r="K40" s="194"/>
      <c r="L40" s="195"/>
    </row>
    <row r="41" spans="1:12" ht="15.75" x14ac:dyDescent="0.25">
      <c r="G41" s="1"/>
      <c r="H41" s="1"/>
      <c r="I41" s="1"/>
      <c r="J41" s="1"/>
      <c r="K41" s="196" t="s">
        <v>359</v>
      </c>
      <c r="L41" s="196"/>
    </row>
    <row r="42" spans="1:12" x14ac:dyDescent="0.25">
      <c r="G42" s="180"/>
      <c r="H42" s="180"/>
      <c r="I42" s="180" t="s">
        <v>69</v>
      </c>
      <c r="J42" s="180"/>
      <c r="K42" s="180" t="s">
        <v>69</v>
      </c>
      <c r="L42" s="180"/>
    </row>
    <row r="43" spans="1:12" x14ac:dyDescent="0.25">
      <c r="G43" s="180"/>
      <c r="H43" s="180"/>
      <c r="I43" s="180" t="s">
        <v>65</v>
      </c>
      <c r="J43" s="180"/>
      <c r="K43" s="180" t="s">
        <v>67</v>
      </c>
      <c r="L43" s="180"/>
    </row>
    <row r="44" spans="1:12" x14ac:dyDescent="0.25">
      <c r="K44" s="180"/>
      <c r="L44" s="180"/>
    </row>
    <row r="45" spans="1:12" x14ac:dyDescent="0.25">
      <c r="K45" s="18"/>
      <c r="L45" s="18"/>
    </row>
    <row r="46" spans="1:12" x14ac:dyDescent="0.25">
      <c r="K46" s="18"/>
      <c r="L46" s="18"/>
    </row>
    <row r="47" spans="1:12" ht="18.75" x14ac:dyDescent="0.3">
      <c r="G47" s="184" t="s">
        <v>25</v>
      </c>
      <c r="H47" s="184"/>
      <c r="I47" s="184"/>
      <c r="J47" s="184"/>
      <c r="K47" s="180"/>
      <c r="L47" s="180"/>
    </row>
    <row r="48" spans="1:12" ht="15.75" x14ac:dyDescent="0.25">
      <c r="G48" s="2" t="s">
        <v>1</v>
      </c>
      <c r="H48" s="2" t="s">
        <v>6</v>
      </c>
      <c r="I48" s="182" t="s">
        <v>13</v>
      </c>
      <c r="J48" s="183"/>
      <c r="K48" s="180"/>
      <c r="L48" s="180"/>
    </row>
    <row r="49" spans="7:12" ht="15.75" x14ac:dyDescent="0.25">
      <c r="G49" s="6">
        <v>42744</v>
      </c>
      <c r="H49" s="7">
        <v>59</v>
      </c>
      <c r="I49" s="182" t="s">
        <v>363</v>
      </c>
      <c r="J49" s="183"/>
      <c r="K49" s="18"/>
      <c r="L49" s="18"/>
    </row>
    <row r="50" spans="7:12" ht="15.75" x14ac:dyDescent="0.25">
      <c r="G50" s="6">
        <v>42747</v>
      </c>
      <c r="H50" s="7">
        <v>16.8</v>
      </c>
      <c r="I50" s="182" t="s">
        <v>212</v>
      </c>
      <c r="J50" s="183"/>
      <c r="K50" s="18"/>
      <c r="L50" s="18"/>
    </row>
    <row r="51" spans="7:12" ht="15.75" x14ac:dyDescent="0.25">
      <c r="G51" s="6">
        <v>42748</v>
      </c>
      <c r="H51" s="3">
        <v>30</v>
      </c>
      <c r="I51" s="182" t="s">
        <v>363</v>
      </c>
      <c r="J51" s="183"/>
      <c r="K51" s="180"/>
      <c r="L51" s="180"/>
    </row>
    <row r="52" spans="7:12" ht="15.75" x14ac:dyDescent="0.25">
      <c r="G52" s="6">
        <v>42752</v>
      </c>
      <c r="H52" s="4">
        <v>64</v>
      </c>
      <c r="I52" s="182" t="s">
        <v>363</v>
      </c>
      <c r="J52" s="183"/>
      <c r="K52" s="180"/>
      <c r="L52" s="180"/>
    </row>
    <row r="53" spans="7:12" ht="15.75" x14ac:dyDescent="0.25">
      <c r="G53" s="6">
        <v>42768</v>
      </c>
      <c r="H53" s="4">
        <v>147.11000000000001</v>
      </c>
      <c r="I53" s="182" t="s">
        <v>262</v>
      </c>
      <c r="J53" s="183"/>
    </row>
    <row r="54" spans="7:12" ht="15.75" x14ac:dyDescent="0.25">
      <c r="G54" s="6">
        <v>42773</v>
      </c>
      <c r="H54" s="4">
        <v>76</v>
      </c>
      <c r="I54" s="182" t="s">
        <v>363</v>
      </c>
      <c r="J54" s="183"/>
    </row>
    <row r="55" spans="7:12" ht="15.75" x14ac:dyDescent="0.25">
      <c r="G55" s="6">
        <v>42769</v>
      </c>
      <c r="H55" s="4">
        <v>150</v>
      </c>
      <c r="I55" s="182" t="s">
        <v>385</v>
      </c>
      <c r="J55" s="183"/>
    </row>
    <row r="56" spans="7:12" ht="15.75" x14ac:dyDescent="0.25">
      <c r="G56" s="6">
        <v>42773</v>
      </c>
      <c r="H56" s="4">
        <v>200</v>
      </c>
      <c r="I56" s="182" t="s">
        <v>386</v>
      </c>
      <c r="J56" s="183"/>
    </row>
    <row r="57" spans="7:12" ht="15.75" x14ac:dyDescent="0.25">
      <c r="G57" s="6">
        <v>42776</v>
      </c>
      <c r="H57" s="4">
        <v>1500</v>
      </c>
      <c r="I57" s="182"/>
      <c r="J57" s="183"/>
    </row>
    <row r="58" spans="7:12" ht="15.75" x14ac:dyDescent="0.25">
      <c r="G58" s="6"/>
      <c r="H58" s="4">
        <v>23</v>
      </c>
      <c r="I58" s="182" t="s">
        <v>388</v>
      </c>
      <c r="J58" s="183"/>
    </row>
    <row r="59" spans="7:12" ht="15.75" x14ac:dyDescent="0.25">
      <c r="G59" s="6"/>
      <c r="H59" s="35">
        <v>114.98</v>
      </c>
      <c r="I59" s="182" t="s">
        <v>342</v>
      </c>
      <c r="J59" s="183"/>
      <c r="K59" s="204" t="s">
        <v>361</v>
      </c>
      <c r="L59" s="205"/>
    </row>
    <row r="60" spans="7:12" ht="15.75" x14ac:dyDescent="0.25">
      <c r="G60" s="6"/>
      <c r="H60" s="35">
        <v>26</v>
      </c>
      <c r="I60" s="182" t="s">
        <v>395</v>
      </c>
      <c r="J60" s="183"/>
    </row>
    <row r="61" spans="7:12" ht="15.75" x14ac:dyDescent="0.25">
      <c r="G61" s="6">
        <v>42776</v>
      </c>
      <c r="H61" s="35">
        <v>112.92</v>
      </c>
      <c r="I61" s="182" t="s">
        <v>158</v>
      </c>
      <c r="J61" s="183"/>
    </row>
    <row r="63" spans="7:12" x14ac:dyDescent="0.25">
      <c r="G63" s="180"/>
      <c r="H63" s="180"/>
      <c r="I63" s="180" t="s">
        <v>64</v>
      </c>
      <c r="J63" s="180"/>
      <c r="K63" s="180" t="s">
        <v>64</v>
      </c>
      <c r="L63" s="180"/>
    </row>
    <row r="64" spans="7:12" x14ac:dyDescent="0.25">
      <c r="G64" s="180"/>
      <c r="H64" s="180"/>
      <c r="I64" s="180" t="s">
        <v>65</v>
      </c>
      <c r="J64" s="180"/>
      <c r="K64" s="180" t="s">
        <v>67</v>
      </c>
      <c r="L64" s="180"/>
    </row>
  </sheetData>
  <mergeCells count="90">
    <mergeCell ref="I61:J61"/>
    <mergeCell ref="I56:J56"/>
    <mergeCell ref="I57:J57"/>
    <mergeCell ref="I58:J58"/>
    <mergeCell ref="I59:J59"/>
    <mergeCell ref="G63:H63"/>
    <mergeCell ref="I63:J63"/>
    <mergeCell ref="K63:L63"/>
    <mergeCell ref="G64:H64"/>
    <mergeCell ref="I64:J64"/>
    <mergeCell ref="K64:L64"/>
    <mergeCell ref="K59:L59"/>
    <mergeCell ref="I60:J60"/>
    <mergeCell ref="K51:L51"/>
    <mergeCell ref="I52:J52"/>
    <mergeCell ref="K52:L52"/>
    <mergeCell ref="I53:J53"/>
    <mergeCell ref="I54:J54"/>
    <mergeCell ref="I55:J55"/>
    <mergeCell ref="I51:J51"/>
    <mergeCell ref="C33:D33"/>
    <mergeCell ref="E33:F33"/>
    <mergeCell ref="I49:J49"/>
    <mergeCell ref="I50:J50"/>
    <mergeCell ref="I48:J48"/>
    <mergeCell ref="I38:J38"/>
    <mergeCell ref="K48:L48"/>
    <mergeCell ref="G42:H42"/>
    <mergeCell ref="I42:J42"/>
    <mergeCell ref="K42:L42"/>
    <mergeCell ref="D27:E27"/>
    <mergeCell ref="G43:H43"/>
    <mergeCell ref="I43:J43"/>
    <mergeCell ref="K43:L43"/>
    <mergeCell ref="A28:F30"/>
    <mergeCell ref="K44:L44"/>
    <mergeCell ref="G47:J47"/>
    <mergeCell ref="K47:L47"/>
    <mergeCell ref="A32:B32"/>
    <mergeCell ref="C32:D32"/>
    <mergeCell ref="E32:F32"/>
    <mergeCell ref="A33:B33"/>
    <mergeCell ref="A24:B24"/>
    <mergeCell ref="H40:L40"/>
    <mergeCell ref="A17:B17"/>
    <mergeCell ref="D18:E18"/>
    <mergeCell ref="K41:L41"/>
    <mergeCell ref="I26:J26"/>
    <mergeCell ref="I28:J28"/>
    <mergeCell ref="I39:J39"/>
    <mergeCell ref="I29:J29"/>
    <mergeCell ref="I31:J31"/>
    <mergeCell ref="I33:J33"/>
    <mergeCell ref="I22:J22"/>
    <mergeCell ref="I34:J34"/>
    <mergeCell ref="I35:J35"/>
    <mergeCell ref="I36:J36"/>
    <mergeCell ref="I37:J37"/>
    <mergeCell ref="I3:J3"/>
    <mergeCell ref="I4:J4"/>
    <mergeCell ref="D10:E10"/>
    <mergeCell ref="I14:J14"/>
    <mergeCell ref="I8:J8"/>
    <mergeCell ref="I12:J12"/>
    <mergeCell ref="I13:J13"/>
    <mergeCell ref="I6:J6"/>
    <mergeCell ref="I7:J7"/>
    <mergeCell ref="I10:J10"/>
    <mergeCell ref="I11:J11"/>
    <mergeCell ref="A1:B1"/>
    <mergeCell ref="D1:E1"/>
    <mergeCell ref="G1:L1"/>
    <mergeCell ref="A2:B2"/>
    <mergeCell ref="D2:E2"/>
    <mergeCell ref="I2:J2"/>
    <mergeCell ref="I30:J30"/>
    <mergeCell ref="I5:J5"/>
    <mergeCell ref="I32:J32"/>
    <mergeCell ref="I15:J15"/>
    <mergeCell ref="I16:J16"/>
    <mergeCell ref="I17:J17"/>
    <mergeCell ref="I24:J24"/>
    <mergeCell ref="I9:J9"/>
    <mergeCell ref="I21:J21"/>
    <mergeCell ref="I23:J23"/>
    <mergeCell ref="I19:J19"/>
    <mergeCell ref="I27:J27"/>
    <mergeCell ref="I25:J25"/>
    <mergeCell ref="I20:J20"/>
    <mergeCell ref="I18:J18"/>
  </mergeCells>
  <pageMargins left="0.511811024" right="0.511811024" top="0.78740157499999996" bottom="0.78740157499999996" header="0.31496062000000002" footer="0.31496062000000002"/>
  <pageSetup paperSize="9" orientation="landscape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L64"/>
  <sheetViews>
    <sheetView topLeftCell="G1" workbookViewId="0">
      <selection activeCell="G18" sqref="G18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400</v>
      </c>
      <c r="B1" s="184"/>
      <c r="C1" s="10"/>
      <c r="D1" s="199" t="s">
        <v>55</v>
      </c>
      <c r="E1" s="200"/>
      <c r="G1" s="184" t="s">
        <v>399</v>
      </c>
      <c r="H1" s="184"/>
      <c r="I1" s="184"/>
      <c r="J1" s="184"/>
      <c r="K1" s="184"/>
      <c r="L1" s="184"/>
    </row>
    <row r="2" spans="1:12" ht="18.75" x14ac:dyDescent="0.3">
      <c r="A2" s="184" t="s">
        <v>396</v>
      </c>
      <c r="B2" s="184"/>
      <c r="C2" s="10"/>
      <c r="D2" s="189"/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H40</f>
        <v>21165.63</v>
      </c>
      <c r="C3" s="11"/>
      <c r="D3" s="2"/>
      <c r="E3" s="2"/>
      <c r="G3" s="6">
        <v>42779</v>
      </c>
      <c r="H3" s="7">
        <v>515</v>
      </c>
      <c r="I3" s="187" t="s">
        <v>46</v>
      </c>
      <c r="J3" s="188"/>
      <c r="K3" s="8" t="s">
        <v>409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21"/>
      <c r="G4" s="6">
        <v>42779</v>
      </c>
      <c r="H4" s="7">
        <v>14.73</v>
      </c>
      <c r="I4" s="187" t="s">
        <v>417</v>
      </c>
      <c r="J4" s="188"/>
      <c r="K4" s="8" t="s">
        <v>318</v>
      </c>
      <c r="L4" s="8" t="s">
        <v>267</v>
      </c>
    </row>
    <row r="5" spans="1:12" ht="15.75" x14ac:dyDescent="0.25">
      <c r="A5" s="2" t="s">
        <v>4</v>
      </c>
      <c r="B5" s="3">
        <f>SUM(H49:H61)</f>
        <v>2849.9</v>
      </c>
      <c r="C5" s="11"/>
      <c r="D5" s="5"/>
      <c r="E5" s="21"/>
      <c r="G5" s="6">
        <v>42779</v>
      </c>
      <c r="H5" s="7">
        <v>29.9</v>
      </c>
      <c r="I5" s="187" t="s">
        <v>416</v>
      </c>
      <c r="J5" s="188"/>
      <c r="K5" s="8" t="s">
        <v>318</v>
      </c>
      <c r="L5" s="8" t="s">
        <v>267</v>
      </c>
    </row>
    <row r="6" spans="1:12" ht="15.75" x14ac:dyDescent="0.25">
      <c r="A6" s="2"/>
      <c r="B6" s="3"/>
      <c r="C6" s="11"/>
      <c r="D6" s="22"/>
      <c r="E6" s="21"/>
      <c r="G6" s="6">
        <v>42779</v>
      </c>
      <c r="H6" s="7">
        <v>500</v>
      </c>
      <c r="I6" s="187" t="s">
        <v>46</v>
      </c>
      <c r="J6" s="188"/>
      <c r="K6" s="8" t="s">
        <v>410</v>
      </c>
      <c r="L6" s="8" t="s">
        <v>268</v>
      </c>
    </row>
    <row r="7" spans="1:12" ht="15.75" x14ac:dyDescent="0.25">
      <c r="A7" s="12" t="s">
        <v>5</v>
      </c>
      <c r="B7" s="25">
        <f>B3+B4-B5</f>
        <v>18315.73</v>
      </c>
      <c r="C7" s="11"/>
      <c r="D7" s="22"/>
      <c r="E7" s="21"/>
      <c r="G7" s="6">
        <v>42781</v>
      </c>
      <c r="H7" s="7">
        <v>500</v>
      </c>
      <c r="I7" s="187" t="s">
        <v>403</v>
      </c>
      <c r="J7" s="188"/>
      <c r="K7" s="8" t="s">
        <v>2269</v>
      </c>
      <c r="L7" s="8" t="s">
        <v>267</v>
      </c>
    </row>
    <row r="8" spans="1:12" ht="15.75" x14ac:dyDescent="0.25">
      <c r="A8" s="2"/>
      <c r="B8" s="3"/>
      <c r="C8" s="11"/>
      <c r="D8" s="22"/>
      <c r="E8" s="21"/>
      <c r="G8" s="6">
        <v>42782</v>
      </c>
      <c r="H8" s="7">
        <v>300</v>
      </c>
      <c r="I8" s="187" t="s">
        <v>412</v>
      </c>
      <c r="J8" s="188"/>
      <c r="K8" s="8" t="s">
        <v>413</v>
      </c>
      <c r="L8" s="8" t="s">
        <v>267</v>
      </c>
    </row>
    <row r="9" spans="1:12" ht="15.75" x14ac:dyDescent="0.25">
      <c r="A9" s="2" t="s">
        <v>14</v>
      </c>
      <c r="B9" s="3">
        <f>B7*0.1</f>
        <v>1831.5730000000001</v>
      </c>
      <c r="C9" s="11"/>
      <c r="D9" s="23" t="s">
        <v>23</v>
      </c>
      <c r="E9" s="24">
        <f>SUM(E4:E8)</f>
        <v>0</v>
      </c>
      <c r="G9" s="6">
        <v>42782</v>
      </c>
      <c r="H9" s="7">
        <v>500</v>
      </c>
      <c r="I9" s="187"/>
      <c r="J9" s="188"/>
      <c r="K9" s="8"/>
      <c r="L9" s="8"/>
    </row>
    <row r="10" spans="1:12" ht="15.75" x14ac:dyDescent="0.25">
      <c r="A10" s="2"/>
      <c r="B10" s="3"/>
      <c r="C10" s="11"/>
      <c r="D10" s="189" t="s">
        <v>11</v>
      </c>
      <c r="E10" s="190"/>
      <c r="G10" s="6">
        <v>42783</v>
      </c>
      <c r="H10" s="7">
        <v>400</v>
      </c>
      <c r="I10" s="187"/>
      <c r="J10" s="188"/>
      <c r="K10" s="8"/>
      <c r="L10" s="8"/>
    </row>
    <row r="11" spans="1:12" ht="15.75" x14ac:dyDescent="0.25">
      <c r="A11" s="2" t="s">
        <v>59</v>
      </c>
      <c r="B11" s="3">
        <f>(B7-B9)/2</f>
        <v>8242.0784999999996</v>
      </c>
      <c r="C11" s="11"/>
      <c r="D11" s="2" t="s">
        <v>1</v>
      </c>
      <c r="E11" s="2" t="s">
        <v>6</v>
      </c>
      <c r="G11" s="6">
        <v>42783</v>
      </c>
      <c r="H11" s="7">
        <v>500</v>
      </c>
      <c r="I11" s="187" t="s">
        <v>139</v>
      </c>
      <c r="J11" s="188"/>
      <c r="K11" s="8" t="s">
        <v>142</v>
      </c>
      <c r="L11" s="8" t="s">
        <v>268</v>
      </c>
    </row>
    <row r="12" spans="1:12" ht="15.75" x14ac:dyDescent="0.25">
      <c r="A12" s="2"/>
      <c r="B12" s="3"/>
      <c r="C12" s="11"/>
      <c r="D12" s="5">
        <v>42780</v>
      </c>
      <c r="E12" s="21">
        <v>50</v>
      </c>
      <c r="G12" s="6">
        <v>42783</v>
      </c>
      <c r="H12" s="7">
        <v>300</v>
      </c>
      <c r="I12" s="187"/>
      <c r="J12" s="188"/>
      <c r="K12" s="8"/>
      <c r="L12" s="8"/>
    </row>
    <row r="13" spans="1:12" ht="15.75" x14ac:dyDescent="0.25">
      <c r="A13" s="2"/>
      <c r="B13" s="3"/>
      <c r="C13" s="11"/>
      <c r="D13" s="5">
        <v>42795</v>
      </c>
      <c r="E13" s="21">
        <v>117.5</v>
      </c>
      <c r="F13" t="s">
        <v>437</v>
      </c>
      <c r="G13" s="6">
        <v>42786</v>
      </c>
      <c r="H13" s="7">
        <v>500</v>
      </c>
      <c r="I13" s="212"/>
      <c r="J13" s="213"/>
      <c r="K13" s="8"/>
      <c r="L13" s="8"/>
    </row>
    <row r="14" spans="1:12" ht="15.75" x14ac:dyDescent="0.25">
      <c r="A14" s="2"/>
      <c r="B14" s="3"/>
      <c r="C14" s="11"/>
      <c r="D14" s="5">
        <v>42797</v>
      </c>
      <c r="E14" s="21">
        <v>126</v>
      </c>
      <c r="F14" t="s">
        <v>432</v>
      </c>
      <c r="G14" s="6">
        <v>42786</v>
      </c>
      <c r="H14" s="7">
        <v>1200</v>
      </c>
      <c r="I14" s="212" t="s">
        <v>341</v>
      </c>
      <c r="J14" s="213"/>
      <c r="K14" s="8" t="s">
        <v>318</v>
      </c>
      <c r="L14" s="8" t="s">
        <v>267</v>
      </c>
    </row>
    <row r="15" spans="1:12" ht="15.75" x14ac:dyDescent="0.25">
      <c r="A15" s="2"/>
      <c r="B15" s="3"/>
      <c r="C15" s="11"/>
      <c r="D15" s="22">
        <v>42800</v>
      </c>
      <c r="E15" s="4">
        <v>50</v>
      </c>
      <c r="F15" t="s">
        <v>435</v>
      </c>
      <c r="G15" s="6">
        <v>42786</v>
      </c>
      <c r="H15" s="7">
        <v>1000</v>
      </c>
      <c r="I15" s="36" t="s">
        <v>366</v>
      </c>
      <c r="J15" s="37"/>
      <c r="K15" s="8" t="s">
        <v>415</v>
      </c>
      <c r="L15" s="8" t="s">
        <v>268</v>
      </c>
    </row>
    <row r="16" spans="1:12" ht="15.75" x14ac:dyDescent="0.25">
      <c r="A16" s="2"/>
      <c r="B16" s="2"/>
      <c r="C16" s="1"/>
      <c r="D16" s="22"/>
      <c r="E16" s="21"/>
      <c r="G16" s="6">
        <v>42787</v>
      </c>
      <c r="H16" s="7">
        <v>95.27</v>
      </c>
      <c r="I16" s="36" t="s">
        <v>420</v>
      </c>
      <c r="J16" s="37"/>
      <c r="K16" s="8" t="s">
        <v>318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SUM(E12:E16)</f>
        <v>343.5</v>
      </c>
      <c r="G17" s="6">
        <v>42788</v>
      </c>
      <c r="H17" s="7">
        <v>220</v>
      </c>
      <c r="I17" s="40" t="s">
        <v>418</v>
      </c>
      <c r="J17" s="41"/>
      <c r="K17" s="8" t="s">
        <v>419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42789</v>
      </c>
      <c r="H18" s="7">
        <v>375</v>
      </c>
      <c r="I18" s="36" t="s">
        <v>366</v>
      </c>
      <c r="J18" s="37"/>
      <c r="K18" s="8" t="s">
        <v>421</v>
      </c>
      <c r="L18" s="8" t="s">
        <v>268</v>
      </c>
    </row>
    <row r="19" spans="1:12" ht="15.75" x14ac:dyDescent="0.25">
      <c r="A19" s="2" t="s">
        <v>57</v>
      </c>
      <c r="B19" s="3">
        <f>B11-E17</f>
        <v>7898.5784999999996</v>
      </c>
      <c r="C19" s="1"/>
      <c r="D19" s="2" t="s">
        <v>1</v>
      </c>
      <c r="E19" s="2" t="s">
        <v>6</v>
      </c>
      <c r="G19" s="6">
        <v>42788</v>
      </c>
      <c r="H19" s="7">
        <v>300</v>
      </c>
      <c r="I19" s="40" t="s">
        <v>366</v>
      </c>
      <c r="J19" s="41"/>
      <c r="K19" s="8" t="s">
        <v>381</v>
      </c>
      <c r="L19" s="8" t="s">
        <v>268</v>
      </c>
    </row>
    <row r="20" spans="1:12" ht="15.75" x14ac:dyDescent="0.25">
      <c r="A20" s="2" t="s">
        <v>12</v>
      </c>
      <c r="B20" s="3">
        <f>B11-E25</f>
        <v>8242.0784999999996</v>
      </c>
      <c r="C20" s="1"/>
      <c r="D20" s="5"/>
      <c r="E20" s="21"/>
      <c r="G20" s="6">
        <v>42789</v>
      </c>
      <c r="H20" s="7">
        <v>300</v>
      </c>
      <c r="I20" s="187" t="s">
        <v>205</v>
      </c>
      <c r="J20" s="188"/>
      <c r="K20" s="8" t="s">
        <v>423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42790</v>
      </c>
      <c r="H21" s="7">
        <v>14.73</v>
      </c>
      <c r="I21" s="187" t="s">
        <v>424</v>
      </c>
      <c r="J21" s="188"/>
      <c r="K21" s="8" t="s">
        <v>318</v>
      </c>
      <c r="L21" s="8" t="s">
        <v>267</v>
      </c>
    </row>
    <row r="22" spans="1:12" ht="15.75" x14ac:dyDescent="0.25">
      <c r="A22" s="2"/>
      <c r="B22" s="2"/>
      <c r="C22" s="1"/>
      <c r="D22" s="22"/>
      <c r="E22" s="21"/>
      <c r="G22" s="6">
        <v>42790</v>
      </c>
      <c r="H22" s="7">
        <v>2750</v>
      </c>
      <c r="I22" s="212" t="s">
        <v>205</v>
      </c>
      <c r="J22" s="213"/>
      <c r="K22" s="8" t="s">
        <v>425</v>
      </c>
      <c r="L22" s="8" t="s">
        <v>268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42790</v>
      </c>
      <c r="H23" s="7">
        <v>1530</v>
      </c>
      <c r="I23" s="187" t="s">
        <v>46</v>
      </c>
      <c r="J23" s="188"/>
      <c r="K23" s="8" t="s">
        <v>428</v>
      </c>
      <c r="L23" s="8" t="s">
        <v>268</v>
      </c>
    </row>
    <row r="24" spans="1:12" ht="15.75" x14ac:dyDescent="0.25">
      <c r="A24" s="196" t="s">
        <v>397</v>
      </c>
      <c r="B24" s="196"/>
      <c r="C24" s="1"/>
      <c r="D24" s="22"/>
      <c r="E24" s="21"/>
      <c r="F24" s="1"/>
      <c r="G24" s="6">
        <v>42795</v>
      </c>
      <c r="H24" s="7">
        <v>400</v>
      </c>
      <c r="I24" s="187" t="s">
        <v>426</v>
      </c>
      <c r="J24" s="188"/>
      <c r="K24" s="8" t="s">
        <v>427</v>
      </c>
      <c r="L24" s="8" t="s">
        <v>267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42796</v>
      </c>
      <c r="H25" s="7">
        <v>350</v>
      </c>
      <c r="I25" s="187" t="s">
        <v>366</v>
      </c>
      <c r="J25" s="188"/>
      <c r="K25" s="8" t="s">
        <v>367</v>
      </c>
      <c r="L25" s="8" t="s">
        <v>268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42796</v>
      </c>
      <c r="H26" s="7">
        <v>600</v>
      </c>
      <c r="I26" s="187" t="s">
        <v>366</v>
      </c>
      <c r="J26" s="188"/>
      <c r="K26" s="8" t="s">
        <v>368</v>
      </c>
      <c r="L26" s="8" t="s">
        <v>268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42796</v>
      </c>
      <c r="H27" s="7">
        <v>500</v>
      </c>
      <c r="I27" s="187"/>
      <c r="J27" s="188"/>
      <c r="K27" s="8"/>
      <c r="L27" s="8"/>
    </row>
    <row r="28" spans="1:12" ht="15.75" x14ac:dyDescent="0.25">
      <c r="A28" s="209"/>
      <c r="B28" s="209"/>
      <c r="C28" s="209"/>
      <c r="D28" s="209"/>
      <c r="E28" s="209"/>
      <c r="F28" s="209"/>
      <c r="G28" s="6">
        <v>42797</v>
      </c>
      <c r="H28" s="7">
        <v>500</v>
      </c>
      <c r="I28" s="187" t="s">
        <v>429</v>
      </c>
      <c r="J28" s="188"/>
      <c r="K28" s="8" t="s">
        <v>430</v>
      </c>
      <c r="L28" s="8" t="s">
        <v>267</v>
      </c>
    </row>
    <row r="29" spans="1:12" ht="15.75" x14ac:dyDescent="0.25">
      <c r="A29" s="209"/>
      <c r="B29" s="209"/>
      <c r="C29" s="209"/>
      <c r="D29" s="209"/>
      <c r="E29" s="209"/>
      <c r="F29" s="209"/>
      <c r="G29" s="6">
        <v>42797</v>
      </c>
      <c r="H29" s="7">
        <v>1200</v>
      </c>
      <c r="I29" s="187" t="s">
        <v>431</v>
      </c>
      <c r="J29" s="188"/>
      <c r="K29" s="8" t="s">
        <v>384</v>
      </c>
      <c r="L29" s="8" t="s">
        <v>267</v>
      </c>
    </row>
    <row r="30" spans="1:12" ht="15.75" x14ac:dyDescent="0.25">
      <c r="A30" s="209"/>
      <c r="B30" s="209"/>
      <c r="C30" s="209"/>
      <c r="D30" s="209"/>
      <c r="E30" s="209"/>
      <c r="F30" s="209"/>
      <c r="G30" s="6">
        <v>42797</v>
      </c>
      <c r="H30" s="7">
        <v>700</v>
      </c>
      <c r="I30" s="187" t="s">
        <v>366</v>
      </c>
      <c r="J30" s="188"/>
      <c r="K30" s="8" t="s">
        <v>384</v>
      </c>
      <c r="L30" s="8" t="s">
        <v>267</v>
      </c>
    </row>
    <row r="31" spans="1:12" ht="15.75" x14ac:dyDescent="0.25">
      <c r="A31" s="17"/>
      <c r="B31" s="29"/>
      <c r="C31" s="29"/>
      <c r="D31" s="29"/>
      <c r="E31" s="20"/>
      <c r="F31" s="1"/>
      <c r="G31" s="6">
        <v>42800</v>
      </c>
      <c r="H31" s="7">
        <v>500</v>
      </c>
      <c r="I31" s="187"/>
      <c r="J31" s="188"/>
      <c r="K31" s="8" t="s">
        <v>2267</v>
      </c>
      <c r="L31" s="8" t="s">
        <v>267</v>
      </c>
    </row>
    <row r="32" spans="1:12" ht="15.75" x14ac:dyDescent="0.25">
      <c r="A32" s="178"/>
      <c r="B32" s="178"/>
      <c r="C32" s="178"/>
      <c r="D32" s="178"/>
      <c r="E32" s="178"/>
      <c r="F32" s="178"/>
      <c r="G32" s="6">
        <v>42801</v>
      </c>
      <c r="H32" s="7">
        <v>300</v>
      </c>
      <c r="I32" s="187" t="s">
        <v>366</v>
      </c>
      <c r="J32" s="188"/>
      <c r="K32" s="8" t="s">
        <v>433</v>
      </c>
      <c r="L32" s="8" t="s">
        <v>268</v>
      </c>
    </row>
    <row r="33" spans="1:12" ht="15.75" x14ac:dyDescent="0.25">
      <c r="A33" s="180"/>
      <c r="B33" s="180"/>
      <c r="C33" s="180"/>
      <c r="D33" s="180"/>
      <c r="E33" s="180"/>
      <c r="F33" s="180"/>
      <c r="G33" s="6">
        <v>42801</v>
      </c>
      <c r="H33" s="7">
        <v>1821</v>
      </c>
      <c r="I33" s="211" t="s">
        <v>46</v>
      </c>
      <c r="J33" s="211"/>
      <c r="K33" s="8" t="s">
        <v>434</v>
      </c>
      <c r="L33" s="8" t="s">
        <v>268</v>
      </c>
    </row>
    <row r="34" spans="1:12" ht="15.75" x14ac:dyDescent="0.25">
      <c r="G34" s="6">
        <v>42804</v>
      </c>
      <c r="H34" s="7">
        <v>500</v>
      </c>
      <c r="I34" s="187"/>
      <c r="J34" s="188"/>
      <c r="K34" s="8" t="s">
        <v>2263</v>
      </c>
      <c r="L34" s="8" t="s">
        <v>267</v>
      </c>
    </row>
    <row r="35" spans="1:12" ht="15.75" x14ac:dyDescent="0.25">
      <c r="G35" s="6">
        <v>42804</v>
      </c>
      <c r="H35" s="7">
        <v>500</v>
      </c>
      <c r="I35" s="187" t="s">
        <v>426</v>
      </c>
      <c r="J35" s="188"/>
      <c r="K35" s="8" t="s">
        <v>438</v>
      </c>
      <c r="L35" s="8" t="s">
        <v>267</v>
      </c>
    </row>
    <row r="36" spans="1:12" ht="15.75" x14ac:dyDescent="0.25">
      <c r="G36" s="6">
        <v>42804</v>
      </c>
      <c r="H36" s="7">
        <v>400</v>
      </c>
      <c r="I36" s="187" t="s">
        <v>290</v>
      </c>
      <c r="J36" s="188"/>
      <c r="K36" s="8" t="s">
        <v>186</v>
      </c>
      <c r="L36" s="8" t="s">
        <v>268</v>
      </c>
    </row>
    <row r="37" spans="1:12" ht="15.75" x14ac:dyDescent="0.25">
      <c r="G37" s="6">
        <v>42804</v>
      </c>
      <c r="H37" s="7">
        <v>250</v>
      </c>
      <c r="I37" s="187" t="s">
        <v>440</v>
      </c>
      <c r="J37" s="188"/>
      <c r="K37" s="8" t="s">
        <v>419</v>
      </c>
      <c r="L37" s="8" t="s">
        <v>268</v>
      </c>
    </row>
    <row r="38" spans="1:12" ht="15.75" x14ac:dyDescent="0.25">
      <c r="G38" s="6">
        <v>42804</v>
      </c>
      <c r="H38" s="7">
        <v>300</v>
      </c>
      <c r="I38" s="187"/>
      <c r="J38" s="188"/>
      <c r="K38" s="8"/>
      <c r="L38" s="8"/>
    </row>
    <row r="39" spans="1:12" ht="15.75" x14ac:dyDescent="0.25">
      <c r="G39" s="6">
        <v>42804</v>
      </c>
      <c r="H39" s="7">
        <v>500</v>
      </c>
      <c r="I39" s="211" t="s">
        <v>439</v>
      </c>
      <c r="J39" s="211"/>
      <c r="K39" s="8" t="s">
        <v>2226</v>
      </c>
      <c r="L39" s="8" t="s">
        <v>267</v>
      </c>
    </row>
    <row r="40" spans="1:12" ht="15.75" x14ac:dyDescent="0.25">
      <c r="G40" s="6" t="s">
        <v>23</v>
      </c>
      <c r="H40" s="193">
        <f>SUM(H3:H39)</f>
        <v>21165.63</v>
      </c>
      <c r="I40" s="194"/>
      <c r="J40" s="194"/>
      <c r="K40" s="194"/>
      <c r="L40" s="195"/>
    </row>
    <row r="41" spans="1:12" ht="15.75" x14ac:dyDescent="0.25">
      <c r="G41" s="1"/>
      <c r="H41" s="1"/>
      <c r="I41" s="1"/>
      <c r="J41" s="1"/>
      <c r="K41" s="196" t="s">
        <v>397</v>
      </c>
      <c r="L41" s="196"/>
    </row>
    <row r="42" spans="1:12" x14ac:dyDescent="0.25">
      <c r="G42" s="180"/>
      <c r="H42" s="180"/>
      <c r="I42" s="180" t="s">
        <v>69</v>
      </c>
      <c r="J42" s="180"/>
      <c r="K42" s="180" t="s">
        <v>69</v>
      </c>
      <c r="L42" s="180"/>
    </row>
    <row r="43" spans="1:12" x14ac:dyDescent="0.25">
      <c r="G43" s="180"/>
      <c r="H43" s="180"/>
      <c r="I43" s="180" t="s">
        <v>65</v>
      </c>
      <c r="J43" s="180"/>
      <c r="K43" s="180" t="s">
        <v>67</v>
      </c>
      <c r="L43" s="180"/>
    </row>
    <row r="44" spans="1:12" x14ac:dyDescent="0.25">
      <c r="K44" s="180"/>
      <c r="L44" s="180"/>
    </row>
    <row r="45" spans="1:12" x14ac:dyDescent="0.25">
      <c r="K45" s="18"/>
      <c r="L45" s="18"/>
    </row>
    <row r="46" spans="1:12" x14ac:dyDescent="0.25">
      <c r="K46" s="18"/>
      <c r="L46" s="18"/>
    </row>
    <row r="47" spans="1:12" ht="18.75" x14ac:dyDescent="0.3">
      <c r="G47" s="184" t="s">
        <v>25</v>
      </c>
      <c r="H47" s="184"/>
      <c r="I47" s="184"/>
      <c r="J47" s="184"/>
      <c r="K47" s="180"/>
      <c r="L47" s="180"/>
    </row>
    <row r="48" spans="1:12" ht="15.75" x14ac:dyDescent="0.25">
      <c r="G48" s="2" t="s">
        <v>1</v>
      </c>
      <c r="H48" s="2" t="s">
        <v>6</v>
      </c>
      <c r="I48" s="182" t="s">
        <v>13</v>
      </c>
      <c r="J48" s="183"/>
      <c r="K48" s="180"/>
      <c r="L48" s="180"/>
    </row>
    <row r="49" spans="7:12" ht="15.75" x14ac:dyDescent="0.25">
      <c r="G49" s="6">
        <v>42781</v>
      </c>
      <c r="H49" s="7">
        <v>650</v>
      </c>
      <c r="I49" s="182" t="s">
        <v>401</v>
      </c>
      <c r="J49" s="183"/>
      <c r="K49" s="18"/>
      <c r="L49" s="18"/>
    </row>
    <row r="50" spans="7:12" ht="15.75" x14ac:dyDescent="0.25">
      <c r="G50" s="6">
        <v>42781</v>
      </c>
      <c r="H50" s="7">
        <v>50</v>
      </c>
      <c r="I50" s="182" t="s">
        <v>402</v>
      </c>
      <c r="J50" s="183"/>
      <c r="K50" s="18"/>
      <c r="L50" s="18"/>
    </row>
    <row r="51" spans="7:12" ht="15.75" x14ac:dyDescent="0.25">
      <c r="G51" s="6">
        <v>42782</v>
      </c>
      <c r="H51" s="7">
        <v>200</v>
      </c>
      <c r="I51" s="182" t="s">
        <v>414</v>
      </c>
      <c r="J51" s="183"/>
      <c r="K51" s="180"/>
      <c r="L51" s="180"/>
    </row>
    <row r="52" spans="7:12" ht="15.75" x14ac:dyDescent="0.25">
      <c r="G52" s="6">
        <v>42783</v>
      </c>
      <c r="H52" s="4">
        <v>95</v>
      </c>
      <c r="I52" s="182" t="s">
        <v>402</v>
      </c>
      <c r="J52" s="183"/>
      <c r="K52" s="180"/>
      <c r="L52" s="180"/>
    </row>
    <row r="53" spans="7:12" ht="15.75" x14ac:dyDescent="0.25">
      <c r="G53" s="6">
        <v>42801</v>
      </c>
      <c r="H53" s="4">
        <v>240</v>
      </c>
      <c r="I53" s="182" t="s">
        <v>436</v>
      </c>
      <c r="J53" s="183"/>
    </row>
    <row r="54" spans="7:12" ht="15.75" x14ac:dyDescent="0.25">
      <c r="G54" s="6">
        <v>42795</v>
      </c>
      <c r="H54" s="4">
        <v>39.9</v>
      </c>
      <c r="I54" s="182" t="s">
        <v>422</v>
      </c>
      <c r="J54" s="183"/>
    </row>
    <row r="55" spans="7:12" ht="15.75" x14ac:dyDescent="0.25">
      <c r="G55" s="6">
        <v>42803</v>
      </c>
      <c r="H55" s="4">
        <v>1500</v>
      </c>
      <c r="I55" s="182" t="s">
        <v>173</v>
      </c>
      <c r="J55" s="183"/>
    </row>
    <row r="56" spans="7:12" ht="15.75" x14ac:dyDescent="0.25">
      <c r="G56" s="6">
        <v>42804</v>
      </c>
      <c r="H56" s="4">
        <v>75</v>
      </c>
      <c r="I56" s="182" t="s">
        <v>441</v>
      </c>
      <c r="J56" s="183"/>
    </row>
    <row r="57" spans="7:12" ht="15.75" x14ac:dyDescent="0.25">
      <c r="G57" s="6"/>
      <c r="H57" s="4"/>
      <c r="I57" s="182"/>
      <c r="J57" s="183"/>
    </row>
    <row r="58" spans="7:12" ht="15.75" x14ac:dyDescent="0.25">
      <c r="G58" s="6"/>
      <c r="H58" s="4"/>
      <c r="I58" s="182"/>
      <c r="J58" s="183"/>
    </row>
    <row r="59" spans="7:12" ht="15.75" x14ac:dyDescent="0.25">
      <c r="G59" s="6"/>
      <c r="H59" s="35"/>
      <c r="I59" s="182"/>
      <c r="J59" s="183"/>
      <c r="K59" s="204" t="s">
        <v>398</v>
      </c>
      <c r="L59" s="205"/>
    </row>
    <row r="60" spans="7:12" ht="15.75" x14ac:dyDescent="0.25">
      <c r="G60" s="6"/>
      <c r="H60" s="35"/>
      <c r="I60" s="182"/>
      <c r="J60" s="183"/>
    </row>
    <row r="61" spans="7:12" ht="15.75" x14ac:dyDescent="0.25">
      <c r="G61" s="6"/>
      <c r="H61" s="35"/>
      <c r="I61" s="182"/>
      <c r="J61" s="183"/>
    </row>
    <row r="63" spans="7:12" x14ac:dyDescent="0.25">
      <c r="G63" s="180"/>
      <c r="H63" s="180"/>
      <c r="I63" s="180" t="s">
        <v>64</v>
      </c>
      <c r="J63" s="180"/>
      <c r="K63" s="180" t="s">
        <v>64</v>
      </c>
      <c r="L63" s="180"/>
    </row>
    <row r="64" spans="7:12" x14ac:dyDescent="0.25">
      <c r="G64" s="180"/>
      <c r="H64" s="180"/>
      <c r="I64" s="180" t="s">
        <v>65</v>
      </c>
      <c r="J64" s="180"/>
      <c r="K64" s="180" t="s">
        <v>67</v>
      </c>
      <c r="L64" s="180"/>
    </row>
  </sheetData>
  <mergeCells count="85">
    <mergeCell ref="I38:J38"/>
    <mergeCell ref="G64:H64"/>
    <mergeCell ref="I64:J64"/>
    <mergeCell ref="K64:L64"/>
    <mergeCell ref="K59:L59"/>
    <mergeCell ref="I60:J60"/>
    <mergeCell ref="I61:J61"/>
    <mergeCell ref="G63:H63"/>
    <mergeCell ref="I63:J63"/>
    <mergeCell ref="K63:L63"/>
    <mergeCell ref="I59:J59"/>
    <mergeCell ref="I54:J54"/>
    <mergeCell ref="I55:J55"/>
    <mergeCell ref="I56:J56"/>
    <mergeCell ref="I57:J57"/>
    <mergeCell ref="I58:J58"/>
    <mergeCell ref="I53:J53"/>
    <mergeCell ref="K44:L44"/>
    <mergeCell ref="G47:J47"/>
    <mergeCell ref="K47:L47"/>
    <mergeCell ref="I48:J48"/>
    <mergeCell ref="K48:L48"/>
    <mergeCell ref="I49:J49"/>
    <mergeCell ref="I50:J50"/>
    <mergeCell ref="I51:J51"/>
    <mergeCell ref="K51:L51"/>
    <mergeCell ref="I52:J52"/>
    <mergeCell ref="K52:L52"/>
    <mergeCell ref="G42:H42"/>
    <mergeCell ref="I42:J42"/>
    <mergeCell ref="K42:L42"/>
    <mergeCell ref="G43:H43"/>
    <mergeCell ref="I43:J43"/>
    <mergeCell ref="K43:L43"/>
    <mergeCell ref="K41:L41"/>
    <mergeCell ref="I27:J27"/>
    <mergeCell ref="I28:J28"/>
    <mergeCell ref="D27:E27"/>
    <mergeCell ref="I29:J29"/>
    <mergeCell ref="A28:F30"/>
    <mergeCell ref="I30:J30"/>
    <mergeCell ref="I31:J31"/>
    <mergeCell ref="I32:J32"/>
    <mergeCell ref="I39:J39"/>
    <mergeCell ref="A32:B32"/>
    <mergeCell ref="C32:D32"/>
    <mergeCell ref="E32:F32"/>
    <mergeCell ref="H40:L40"/>
    <mergeCell ref="I33:J33"/>
    <mergeCell ref="I34:J34"/>
    <mergeCell ref="A17:B17"/>
    <mergeCell ref="I23:J23"/>
    <mergeCell ref="I24:J24"/>
    <mergeCell ref="I25:J25"/>
    <mergeCell ref="A33:B33"/>
    <mergeCell ref="C33:D33"/>
    <mergeCell ref="E33:F33"/>
    <mergeCell ref="A24:B24"/>
    <mergeCell ref="I26:J26"/>
    <mergeCell ref="I21:J21"/>
    <mergeCell ref="I22:J22"/>
    <mergeCell ref="D18:E18"/>
    <mergeCell ref="I20:J20"/>
    <mergeCell ref="D10:E10"/>
    <mergeCell ref="I12:J12"/>
    <mergeCell ref="I13:J13"/>
    <mergeCell ref="I14:J14"/>
    <mergeCell ref="I10:J10"/>
    <mergeCell ref="A1:B1"/>
    <mergeCell ref="D1:E1"/>
    <mergeCell ref="G1:L1"/>
    <mergeCell ref="A2:B2"/>
    <mergeCell ref="D2:E2"/>
    <mergeCell ref="I2:J2"/>
    <mergeCell ref="I35:J35"/>
    <mergeCell ref="I36:J36"/>
    <mergeCell ref="I37:J37"/>
    <mergeCell ref="I3:J3"/>
    <mergeCell ref="I6:J6"/>
    <mergeCell ref="I7:J7"/>
    <mergeCell ref="I8:J8"/>
    <mergeCell ref="I9:J9"/>
    <mergeCell ref="I5:J5"/>
    <mergeCell ref="I4:J4"/>
    <mergeCell ref="I11:J11"/>
  </mergeCells>
  <pageMargins left="0.511811024" right="0.511811024" top="0.78740157499999996" bottom="0.78740157499999996" header="0.31496062000000002" footer="0.31496062000000002"/>
  <pageSetup paperSize="9" orientation="landscape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N70"/>
  <sheetViews>
    <sheetView topLeftCell="G22" workbookViewId="0">
      <selection activeCell="G24" sqref="G24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4" ht="18.75" x14ac:dyDescent="0.3">
      <c r="A1" s="184" t="s">
        <v>495</v>
      </c>
      <c r="B1" s="184"/>
      <c r="C1" s="10"/>
      <c r="D1" s="199" t="s">
        <v>55</v>
      </c>
      <c r="E1" s="200"/>
      <c r="G1" s="184" t="s">
        <v>496</v>
      </c>
      <c r="H1" s="184"/>
      <c r="I1" s="184"/>
      <c r="J1" s="184"/>
      <c r="K1" s="184"/>
      <c r="L1" s="184"/>
    </row>
    <row r="2" spans="1:14" ht="18.75" x14ac:dyDescent="0.3">
      <c r="A2" s="184" t="s">
        <v>449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4" ht="15.75" x14ac:dyDescent="0.25">
      <c r="A3" s="2" t="s">
        <v>2</v>
      </c>
      <c r="B3" s="3">
        <f>H46</f>
        <v>24003.3</v>
      </c>
      <c r="C3" s="11"/>
      <c r="D3" s="5">
        <v>42809</v>
      </c>
      <c r="E3" s="21">
        <v>380</v>
      </c>
      <c r="F3" t="s">
        <v>432</v>
      </c>
      <c r="G3" s="6">
        <v>42805</v>
      </c>
      <c r="H3" s="7">
        <v>300</v>
      </c>
      <c r="I3" s="187" t="s">
        <v>453</v>
      </c>
      <c r="J3" s="188"/>
      <c r="K3" s="8" t="s">
        <v>2241</v>
      </c>
      <c r="L3" s="8" t="s">
        <v>267</v>
      </c>
      <c r="N3" s="42">
        <v>42809</v>
      </c>
    </row>
    <row r="4" spans="1:14" ht="15.75" x14ac:dyDescent="0.25">
      <c r="A4" s="2" t="s">
        <v>3</v>
      </c>
      <c r="B4" s="3"/>
      <c r="C4" s="11"/>
      <c r="D4" s="5">
        <v>42826</v>
      </c>
      <c r="E4" s="21">
        <v>117.5</v>
      </c>
      <c r="F4" t="s">
        <v>437</v>
      </c>
      <c r="G4" s="6">
        <v>42807</v>
      </c>
      <c r="H4" s="7">
        <v>500</v>
      </c>
      <c r="I4" s="187" t="s">
        <v>162</v>
      </c>
      <c r="J4" s="188"/>
      <c r="K4" s="8" t="s">
        <v>442</v>
      </c>
      <c r="L4" s="8" t="s">
        <v>267</v>
      </c>
      <c r="N4">
        <v>1821</v>
      </c>
    </row>
    <row r="5" spans="1:14" ht="15.75" x14ac:dyDescent="0.25">
      <c r="A5" s="2" t="s">
        <v>4</v>
      </c>
      <c r="B5" s="3">
        <f>SUM(H55:H66)</f>
        <v>4415.07</v>
      </c>
      <c r="C5" s="11"/>
      <c r="D5" s="5">
        <v>42810</v>
      </c>
      <c r="E5" s="21">
        <v>300</v>
      </c>
      <c r="G5" s="6">
        <v>42807</v>
      </c>
      <c r="H5" s="7">
        <v>300</v>
      </c>
      <c r="I5" s="187" t="s">
        <v>366</v>
      </c>
      <c r="J5" s="188"/>
      <c r="K5" s="8" t="s">
        <v>381</v>
      </c>
      <c r="L5" s="8" t="s">
        <v>268</v>
      </c>
      <c r="N5">
        <v>2450</v>
      </c>
    </row>
    <row r="6" spans="1:14" ht="15.75" x14ac:dyDescent="0.25">
      <c r="A6" s="2"/>
      <c r="B6" s="3"/>
      <c r="C6" s="11"/>
      <c r="D6" s="22">
        <v>42814</v>
      </c>
      <c r="E6" s="4">
        <v>50</v>
      </c>
      <c r="G6" s="6">
        <v>42807</v>
      </c>
      <c r="H6" s="7">
        <v>510</v>
      </c>
      <c r="I6" s="187" t="s">
        <v>46</v>
      </c>
      <c r="J6" s="188"/>
      <c r="K6" s="8" t="s">
        <v>443</v>
      </c>
      <c r="L6" s="8" t="s">
        <v>268</v>
      </c>
    </row>
    <row r="7" spans="1:14" ht="15.75" x14ac:dyDescent="0.25">
      <c r="A7" s="12" t="s">
        <v>5</v>
      </c>
      <c r="B7" s="25">
        <f>B3+B4-B5</f>
        <v>19588.23</v>
      </c>
      <c r="C7" s="11"/>
      <c r="D7" s="22">
        <v>42818</v>
      </c>
      <c r="E7" s="21">
        <v>400</v>
      </c>
      <c r="G7" s="6">
        <v>42807</v>
      </c>
      <c r="H7" s="7">
        <v>500</v>
      </c>
      <c r="I7" s="187" t="s">
        <v>46</v>
      </c>
      <c r="J7" s="188"/>
      <c r="K7" s="8" t="s">
        <v>444</v>
      </c>
      <c r="L7" s="8" t="s">
        <v>268</v>
      </c>
    </row>
    <row r="8" spans="1:14" ht="15.75" x14ac:dyDescent="0.25">
      <c r="A8" s="2"/>
      <c r="B8" s="3"/>
      <c r="C8" s="11"/>
      <c r="D8" s="22">
        <v>42821</v>
      </c>
      <c r="E8" s="21">
        <v>100</v>
      </c>
      <c r="G8" s="6">
        <v>42808</v>
      </c>
      <c r="H8" s="7">
        <v>250</v>
      </c>
      <c r="I8" s="187" t="s">
        <v>366</v>
      </c>
      <c r="J8" s="188"/>
      <c r="K8" s="8" t="s">
        <v>448</v>
      </c>
      <c r="L8" s="8" t="s">
        <v>268</v>
      </c>
    </row>
    <row r="9" spans="1:14" ht="15.75" x14ac:dyDescent="0.25">
      <c r="A9" s="2" t="s">
        <v>14</v>
      </c>
      <c r="B9" s="3">
        <f>B7*0.1</f>
        <v>1958.8230000000001</v>
      </c>
      <c r="C9" s="11"/>
      <c r="D9" s="22">
        <v>42825</v>
      </c>
      <c r="E9" s="21">
        <v>300</v>
      </c>
      <c r="F9" t="s">
        <v>478</v>
      </c>
      <c r="G9" s="6">
        <v>42808</v>
      </c>
      <c r="H9" s="7">
        <v>721.57</v>
      </c>
      <c r="I9" s="187" t="s">
        <v>165</v>
      </c>
      <c r="J9" s="188"/>
      <c r="K9" s="8" t="s">
        <v>329</v>
      </c>
      <c r="L9" s="8" t="s">
        <v>267</v>
      </c>
    </row>
    <row r="10" spans="1:14" ht="15.75" x14ac:dyDescent="0.25">
      <c r="A10" s="2"/>
      <c r="B10" s="3"/>
      <c r="C10" s="11"/>
      <c r="D10" s="22">
        <v>42833</v>
      </c>
      <c r="E10" s="21">
        <v>100</v>
      </c>
      <c r="G10" s="6">
        <v>42809</v>
      </c>
      <c r="H10" s="7">
        <v>500</v>
      </c>
      <c r="I10" s="187" t="s">
        <v>366</v>
      </c>
      <c r="J10" s="188"/>
      <c r="K10" s="8" t="s">
        <v>445</v>
      </c>
      <c r="L10" s="8" t="s">
        <v>268</v>
      </c>
    </row>
    <row r="11" spans="1:14" ht="15.75" x14ac:dyDescent="0.25">
      <c r="A11" s="2" t="s">
        <v>59</v>
      </c>
      <c r="B11" s="3">
        <f>(B7-B9)/2</f>
        <v>8814.7034999999996</v>
      </c>
      <c r="C11" s="11"/>
      <c r="D11" s="5">
        <v>42837</v>
      </c>
      <c r="E11" s="43">
        <v>300</v>
      </c>
      <c r="G11" s="6">
        <v>42809</v>
      </c>
      <c r="H11" s="7">
        <v>500</v>
      </c>
      <c r="I11" s="187" t="s">
        <v>132</v>
      </c>
      <c r="J11" s="188"/>
      <c r="K11" s="8" t="s">
        <v>2269</v>
      </c>
      <c r="L11" s="8" t="s">
        <v>267</v>
      </c>
    </row>
    <row r="12" spans="1:14" ht="15.75" x14ac:dyDescent="0.25">
      <c r="A12" s="2"/>
      <c r="B12" s="3"/>
      <c r="C12" s="11"/>
      <c r="D12" s="5">
        <v>42837</v>
      </c>
      <c r="E12" s="21">
        <v>326.72000000000003</v>
      </c>
      <c r="F12" t="s">
        <v>491</v>
      </c>
      <c r="G12" s="6">
        <v>42809</v>
      </c>
      <c r="H12" s="7">
        <v>97.8</v>
      </c>
      <c r="I12" s="187" t="s">
        <v>447</v>
      </c>
      <c r="J12" s="188"/>
      <c r="K12" s="8" t="s">
        <v>318</v>
      </c>
      <c r="L12" s="8" t="s">
        <v>267</v>
      </c>
    </row>
    <row r="13" spans="1:14" ht="15.75" x14ac:dyDescent="0.25">
      <c r="A13" s="2"/>
      <c r="B13" s="3"/>
      <c r="C13" s="11"/>
      <c r="D13" s="5"/>
      <c r="E13" s="21"/>
      <c r="G13" s="6">
        <v>42809</v>
      </c>
      <c r="H13" s="7">
        <v>500</v>
      </c>
      <c r="I13" s="187" t="s">
        <v>366</v>
      </c>
      <c r="J13" s="188"/>
      <c r="K13" s="8" t="s">
        <v>452</v>
      </c>
      <c r="L13" s="8" t="s">
        <v>267</v>
      </c>
    </row>
    <row r="14" spans="1:14" ht="15.75" x14ac:dyDescent="0.25">
      <c r="A14" s="2"/>
      <c r="B14" s="3"/>
      <c r="C14" s="11"/>
      <c r="D14" s="5"/>
      <c r="E14" s="21"/>
      <c r="G14" s="6">
        <v>42809</v>
      </c>
      <c r="H14" s="7">
        <v>500</v>
      </c>
      <c r="I14" s="187" t="s">
        <v>366</v>
      </c>
      <c r="J14" s="188"/>
      <c r="K14" s="8" t="s">
        <v>452</v>
      </c>
      <c r="L14" s="8" t="s">
        <v>267</v>
      </c>
    </row>
    <row r="15" spans="1:14" ht="15.75" x14ac:dyDescent="0.25">
      <c r="A15" s="2"/>
      <c r="B15" s="3"/>
      <c r="C15" s="11"/>
      <c r="D15" s="22"/>
      <c r="E15" s="4"/>
      <c r="G15" s="6">
        <v>42809</v>
      </c>
      <c r="H15" s="7">
        <v>240</v>
      </c>
      <c r="I15" s="212" t="s">
        <v>46</v>
      </c>
      <c r="J15" s="213"/>
      <c r="K15" s="8" t="s">
        <v>456</v>
      </c>
      <c r="L15" s="8" t="s">
        <v>268</v>
      </c>
    </row>
    <row r="16" spans="1:14" ht="15.75" x14ac:dyDescent="0.25">
      <c r="A16" s="2"/>
      <c r="B16" s="2"/>
      <c r="C16" s="1"/>
      <c r="D16" s="22"/>
      <c r="E16" s="21"/>
      <c r="G16" s="6">
        <v>42810</v>
      </c>
      <c r="H16" s="7">
        <v>300</v>
      </c>
      <c r="I16" s="212" t="s">
        <v>305</v>
      </c>
      <c r="J16" s="213"/>
      <c r="K16" s="8"/>
      <c r="L16" s="8" t="s">
        <v>240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2374.2200000000003</v>
      </c>
      <c r="G17" s="6">
        <v>42810</v>
      </c>
      <c r="H17" s="7">
        <v>2886.3</v>
      </c>
      <c r="I17" s="187" t="s">
        <v>431</v>
      </c>
      <c r="J17" s="188"/>
      <c r="K17" s="8" t="s">
        <v>457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42811</v>
      </c>
      <c r="H18" s="7">
        <v>375</v>
      </c>
      <c r="I18" s="187" t="s">
        <v>486</v>
      </c>
      <c r="J18" s="188"/>
      <c r="K18" s="8" t="s">
        <v>484</v>
      </c>
      <c r="L18" s="8" t="s">
        <v>268</v>
      </c>
    </row>
    <row r="19" spans="1:12" ht="15.75" x14ac:dyDescent="0.25">
      <c r="A19" s="2" t="s">
        <v>57</v>
      </c>
      <c r="B19" s="3">
        <f>B11-E17</f>
        <v>6440.4834999999994</v>
      </c>
      <c r="C19" s="1"/>
      <c r="D19" s="2" t="s">
        <v>1</v>
      </c>
      <c r="E19" s="2" t="s">
        <v>6</v>
      </c>
      <c r="G19" s="6">
        <v>42811</v>
      </c>
      <c r="H19" s="7">
        <v>400</v>
      </c>
      <c r="I19" s="187" t="s">
        <v>486</v>
      </c>
      <c r="J19" s="188"/>
      <c r="K19" s="8" t="s">
        <v>485</v>
      </c>
      <c r="L19" s="8" t="s">
        <v>268</v>
      </c>
    </row>
    <row r="20" spans="1:12" ht="15.75" x14ac:dyDescent="0.25">
      <c r="A20" s="2" t="s">
        <v>12</v>
      </c>
      <c r="B20" s="3">
        <f>B11-E25</f>
        <v>8814.7034999999996</v>
      </c>
      <c r="C20" s="1"/>
      <c r="D20" s="5"/>
      <c r="E20" s="21"/>
      <c r="G20" s="6">
        <v>42811</v>
      </c>
      <c r="H20" s="7">
        <v>500</v>
      </c>
      <c r="I20" s="187" t="s">
        <v>454</v>
      </c>
      <c r="J20" s="188"/>
      <c r="K20" s="8" t="s">
        <v>455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42814</v>
      </c>
      <c r="H21" s="7">
        <v>500</v>
      </c>
      <c r="I21" s="212" t="s">
        <v>366</v>
      </c>
      <c r="J21" s="213"/>
      <c r="K21" s="8" t="s">
        <v>458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42815</v>
      </c>
      <c r="H22" s="7">
        <v>300</v>
      </c>
      <c r="I22" s="212" t="s">
        <v>165</v>
      </c>
      <c r="J22" s="213"/>
      <c r="K22" s="8" t="s">
        <v>125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42815</v>
      </c>
      <c r="H23" s="7">
        <v>500</v>
      </c>
      <c r="I23" s="187" t="s">
        <v>459</v>
      </c>
      <c r="J23" s="188"/>
      <c r="K23" s="8" t="s">
        <v>348</v>
      </c>
      <c r="L23" s="8" t="s">
        <v>267</v>
      </c>
    </row>
    <row r="24" spans="1:12" ht="15.75" x14ac:dyDescent="0.25">
      <c r="A24" s="196" t="s">
        <v>450</v>
      </c>
      <c r="B24" s="196"/>
      <c r="C24" s="1"/>
      <c r="D24" s="22"/>
      <c r="E24" s="21"/>
      <c r="F24" s="1"/>
      <c r="G24" s="6">
        <v>42816</v>
      </c>
      <c r="H24" s="7">
        <v>375</v>
      </c>
      <c r="I24" s="212" t="s">
        <v>466</v>
      </c>
      <c r="J24" s="213"/>
      <c r="K24" s="8" t="s">
        <v>421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42816</v>
      </c>
      <c r="H25" s="7">
        <v>200</v>
      </c>
      <c r="I25" s="187" t="s">
        <v>460</v>
      </c>
      <c r="J25" s="188"/>
      <c r="K25" s="8" t="s">
        <v>461</v>
      </c>
      <c r="L25" s="8" t="s">
        <v>268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42817</v>
      </c>
      <c r="H26" s="7">
        <v>250</v>
      </c>
      <c r="I26" s="187" t="s">
        <v>305</v>
      </c>
      <c r="J26" s="188"/>
      <c r="K26" s="8"/>
      <c r="L26" s="8" t="s">
        <v>240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42818</v>
      </c>
      <c r="H27" s="7">
        <v>250</v>
      </c>
      <c r="I27" s="187" t="s">
        <v>366</v>
      </c>
      <c r="J27" s="188"/>
      <c r="K27" s="8" t="s">
        <v>462</v>
      </c>
      <c r="L27" s="8" t="s">
        <v>268</v>
      </c>
    </row>
    <row r="28" spans="1:12" ht="15.75" x14ac:dyDescent="0.25">
      <c r="A28" s="209"/>
      <c r="B28" s="209"/>
      <c r="C28" s="209"/>
      <c r="D28" s="209"/>
      <c r="E28" s="209"/>
      <c r="F28" s="209"/>
      <c r="G28" s="6">
        <v>42821</v>
      </c>
      <c r="H28" s="7">
        <v>200</v>
      </c>
      <c r="I28" s="187" t="s">
        <v>305</v>
      </c>
      <c r="J28" s="188"/>
      <c r="K28" s="8"/>
      <c r="L28" s="8" t="s">
        <v>240</v>
      </c>
    </row>
    <row r="29" spans="1:12" ht="15.75" x14ac:dyDescent="0.25">
      <c r="A29" s="209"/>
      <c r="B29" s="209"/>
      <c r="C29" s="209"/>
      <c r="D29" s="209"/>
      <c r="E29" s="209"/>
      <c r="F29" s="209"/>
      <c r="G29" s="6">
        <v>42821</v>
      </c>
      <c r="H29" s="7">
        <v>1200</v>
      </c>
      <c r="I29" s="187" t="s">
        <v>341</v>
      </c>
      <c r="J29" s="188"/>
      <c r="K29" s="8" t="s">
        <v>318</v>
      </c>
      <c r="L29" s="8" t="s">
        <v>267</v>
      </c>
    </row>
    <row r="30" spans="1:12" ht="15.75" x14ac:dyDescent="0.25">
      <c r="A30" s="209"/>
      <c r="B30" s="209"/>
      <c r="C30" s="209"/>
      <c r="D30" s="209"/>
      <c r="E30" s="209"/>
      <c r="F30" s="209"/>
      <c r="G30" s="6">
        <v>42821</v>
      </c>
      <c r="H30" s="7">
        <v>1200</v>
      </c>
      <c r="I30" s="187" t="s">
        <v>341</v>
      </c>
      <c r="J30" s="188"/>
      <c r="K30" s="8" t="s">
        <v>318</v>
      </c>
      <c r="L30" s="8" t="s">
        <v>267</v>
      </c>
    </row>
    <row r="31" spans="1:12" ht="15.75" x14ac:dyDescent="0.25">
      <c r="A31" s="17"/>
      <c r="B31" s="29"/>
      <c r="C31" s="29"/>
      <c r="D31" s="29"/>
      <c r="E31" s="20"/>
      <c r="F31" s="1"/>
      <c r="G31" s="6">
        <v>42821</v>
      </c>
      <c r="H31" s="7">
        <v>300</v>
      </c>
      <c r="I31" s="187" t="s">
        <v>467</v>
      </c>
      <c r="J31" s="188"/>
      <c r="K31" s="8" t="s">
        <v>318</v>
      </c>
      <c r="L31" s="8" t="s">
        <v>267</v>
      </c>
    </row>
    <row r="32" spans="1:12" ht="15.75" x14ac:dyDescent="0.25">
      <c r="A32" s="178"/>
      <c r="B32" s="178"/>
      <c r="C32" s="178"/>
      <c r="D32" s="178"/>
      <c r="E32" s="178"/>
      <c r="F32" s="178"/>
      <c r="G32" s="6">
        <v>42822</v>
      </c>
      <c r="H32" s="7">
        <v>300</v>
      </c>
      <c r="I32" s="187" t="s">
        <v>468</v>
      </c>
      <c r="J32" s="188"/>
      <c r="K32" s="8" t="s">
        <v>2241</v>
      </c>
      <c r="L32" s="8" t="s">
        <v>267</v>
      </c>
    </row>
    <row r="33" spans="1:12" ht="15.75" x14ac:dyDescent="0.25">
      <c r="A33" s="180"/>
      <c r="B33" s="180"/>
      <c r="C33" s="180"/>
      <c r="D33" s="180"/>
      <c r="E33" s="180"/>
      <c r="F33" s="180"/>
      <c r="G33" s="6">
        <v>42823</v>
      </c>
      <c r="H33" s="7">
        <v>950</v>
      </c>
      <c r="I33" s="187" t="s">
        <v>305</v>
      </c>
      <c r="J33" s="188"/>
      <c r="K33" s="8"/>
      <c r="L33" s="8" t="s">
        <v>240</v>
      </c>
    </row>
    <row r="34" spans="1:12" ht="15.75" x14ac:dyDescent="0.25">
      <c r="G34" s="6">
        <v>42824</v>
      </c>
      <c r="H34" s="7">
        <v>1000</v>
      </c>
      <c r="I34" s="187" t="s">
        <v>469</v>
      </c>
      <c r="J34" s="188"/>
      <c r="K34" s="8" t="s">
        <v>470</v>
      </c>
      <c r="L34" s="8" t="s">
        <v>267</v>
      </c>
    </row>
    <row r="35" spans="1:12" ht="15.75" x14ac:dyDescent="0.25">
      <c r="G35" s="6">
        <v>42825</v>
      </c>
      <c r="H35" s="7">
        <v>300</v>
      </c>
      <c r="I35" s="187" t="s">
        <v>165</v>
      </c>
      <c r="J35" s="188"/>
      <c r="K35" s="8" t="s">
        <v>472</v>
      </c>
      <c r="L35" s="8" t="s">
        <v>267</v>
      </c>
    </row>
    <row r="36" spans="1:12" ht="15.75" x14ac:dyDescent="0.25">
      <c r="G36" s="6">
        <v>42825</v>
      </c>
      <c r="H36" s="7">
        <v>350</v>
      </c>
      <c r="I36" s="211" t="s">
        <v>366</v>
      </c>
      <c r="J36" s="211"/>
      <c r="K36" s="8" t="s">
        <v>367</v>
      </c>
      <c r="L36" s="8" t="s">
        <v>268</v>
      </c>
    </row>
    <row r="37" spans="1:12" ht="15.75" x14ac:dyDescent="0.25">
      <c r="G37" s="6">
        <v>42828</v>
      </c>
      <c r="H37" s="7">
        <v>900</v>
      </c>
      <c r="I37" s="187" t="s">
        <v>483</v>
      </c>
      <c r="J37" s="188"/>
      <c r="K37" s="8" t="s">
        <v>482</v>
      </c>
      <c r="L37" s="8" t="s">
        <v>267</v>
      </c>
    </row>
    <row r="38" spans="1:12" ht="15.75" x14ac:dyDescent="0.25">
      <c r="G38" s="6">
        <v>42830</v>
      </c>
      <c r="H38" s="7">
        <v>100</v>
      </c>
      <c r="I38" s="187" t="s">
        <v>327</v>
      </c>
      <c r="J38" s="188"/>
      <c r="K38" s="8" t="s">
        <v>326</v>
      </c>
      <c r="L38" s="8" t="s">
        <v>268</v>
      </c>
    </row>
    <row r="39" spans="1:12" ht="15.75" x14ac:dyDescent="0.25">
      <c r="G39" s="6">
        <v>42830</v>
      </c>
      <c r="H39" s="7">
        <v>500</v>
      </c>
      <c r="I39" s="187" t="s">
        <v>480</v>
      </c>
      <c r="J39" s="188"/>
      <c r="K39" s="8" t="s">
        <v>2267</v>
      </c>
      <c r="L39" s="8" t="s">
        <v>267</v>
      </c>
    </row>
    <row r="40" spans="1:12" ht="15.75" x14ac:dyDescent="0.25">
      <c r="G40" s="6">
        <v>42830</v>
      </c>
      <c r="H40" s="7">
        <v>500</v>
      </c>
      <c r="I40" s="187" t="s">
        <v>366</v>
      </c>
      <c r="J40" s="188"/>
      <c r="K40" s="8" t="s">
        <v>474</v>
      </c>
      <c r="L40" s="8" t="s">
        <v>268</v>
      </c>
    </row>
    <row r="41" spans="1:12" ht="15.75" x14ac:dyDescent="0.25">
      <c r="G41" s="6">
        <v>42831</v>
      </c>
      <c r="H41" s="7">
        <v>995.58</v>
      </c>
      <c r="I41" s="187" t="s">
        <v>473</v>
      </c>
      <c r="J41" s="188"/>
      <c r="K41" s="8" t="s">
        <v>288</v>
      </c>
      <c r="L41" s="8" t="s">
        <v>268</v>
      </c>
    </row>
    <row r="42" spans="1:12" ht="15.75" x14ac:dyDescent="0.25">
      <c r="G42" s="6">
        <v>42831</v>
      </c>
      <c r="H42" s="7">
        <v>69.349999999999994</v>
      </c>
      <c r="I42" s="187" t="s">
        <v>475</v>
      </c>
      <c r="J42" s="188"/>
      <c r="K42" s="8" t="s">
        <v>318</v>
      </c>
      <c r="L42" s="8" t="s">
        <v>267</v>
      </c>
    </row>
    <row r="43" spans="1:12" ht="15.75" x14ac:dyDescent="0.25">
      <c r="G43" s="6">
        <v>42831</v>
      </c>
      <c r="H43" s="7">
        <v>561.70000000000005</v>
      </c>
      <c r="I43" s="187" t="s">
        <v>205</v>
      </c>
      <c r="J43" s="188"/>
      <c r="K43" s="8" t="s">
        <v>479</v>
      </c>
      <c r="L43" s="8" t="s">
        <v>268</v>
      </c>
    </row>
    <row r="44" spans="1:12" ht="15.75" x14ac:dyDescent="0.25">
      <c r="G44" s="6">
        <v>42835</v>
      </c>
      <c r="H44" s="7">
        <v>1821</v>
      </c>
      <c r="I44" s="187" t="s">
        <v>46</v>
      </c>
      <c r="J44" s="188"/>
      <c r="K44" s="8" t="s">
        <v>434</v>
      </c>
      <c r="L44" s="8" t="s">
        <v>268</v>
      </c>
    </row>
    <row r="45" spans="1:12" ht="15.75" x14ac:dyDescent="0.25">
      <c r="G45" s="6">
        <v>42835</v>
      </c>
      <c r="H45" s="7">
        <v>500</v>
      </c>
      <c r="I45" s="187" t="s">
        <v>481</v>
      </c>
      <c r="J45" s="188"/>
      <c r="K45" s="8" t="s">
        <v>476</v>
      </c>
      <c r="L45" s="8" t="s">
        <v>267</v>
      </c>
    </row>
    <row r="46" spans="1:12" ht="15.75" x14ac:dyDescent="0.25">
      <c r="G46" s="6" t="s">
        <v>23</v>
      </c>
      <c r="H46" s="193">
        <f>SUM(H3:H45)</f>
        <v>24003.3</v>
      </c>
      <c r="I46" s="194"/>
      <c r="J46" s="194"/>
      <c r="K46" s="194"/>
      <c r="L46" s="195"/>
    </row>
    <row r="47" spans="1:12" ht="15.75" x14ac:dyDescent="0.25">
      <c r="G47" s="1"/>
      <c r="H47" s="1"/>
      <c r="I47" s="1"/>
      <c r="J47" s="1"/>
      <c r="K47" s="196" t="s">
        <v>450</v>
      </c>
      <c r="L47" s="196"/>
    </row>
    <row r="48" spans="1:12" x14ac:dyDescent="0.25">
      <c r="G48" s="180"/>
      <c r="H48" s="180"/>
      <c r="I48" s="180" t="s">
        <v>69</v>
      </c>
      <c r="J48" s="180"/>
      <c r="K48" s="180" t="s">
        <v>69</v>
      </c>
      <c r="L48" s="180"/>
    </row>
    <row r="49" spans="7:12" x14ac:dyDescent="0.25">
      <c r="G49" s="180"/>
      <c r="H49" s="180"/>
      <c r="I49" s="180" t="s">
        <v>65</v>
      </c>
      <c r="J49" s="180"/>
      <c r="K49" s="180" t="s">
        <v>67</v>
      </c>
      <c r="L49" s="180"/>
    </row>
    <row r="50" spans="7:12" x14ac:dyDescent="0.25">
      <c r="K50" s="180"/>
      <c r="L50" s="180"/>
    </row>
    <row r="51" spans="7:12" x14ac:dyDescent="0.25">
      <c r="K51" s="18"/>
      <c r="L51" s="18"/>
    </row>
    <row r="52" spans="7:12" x14ac:dyDescent="0.25">
      <c r="K52" s="18"/>
      <c r="L52" s="18"/>
    </row>
    <row r="53" spans="7:12" ht="18.75" x14ac:dyDescent="0.3">
      <c r="G53" s="184" t="s">
        <v>25</v>
      </c>
      <c r="H53" s="184"/>
      <c r="I53" s="184"/>
      <c r="J53" s="184"/>
      <c r="K53" s="180"/>
      <c r="L53" s="180"/>
    </row>
    <row r="54" spans="7:12" ht="15.75" x14ac:dyDescent="0.25">
      <c r="G54" s="2" t="s">
        <v>1</v>
      </c>
      <c r="H54" s="2" t="s">
        <v>6</v>
      </c>
      <c r="I54" s="182" t="s">
        <v>13</v>
      </c>
      <c r="J54" s="183"/>
      <c r="K54" s="180"/>
      <c r="L54" s="180"/>
    </row>
    <row r="55" spans="7:12" ht="15.75" x14ac:dyDescent="0.25">
      <c r="G55" s="6"/>
      <c r="H55" s="7">
        <v>49</v>
      </c>
      <c r="I55" s="182" t="s">
        <v>465</v>
      </c>
      <c r="J55" s="183"/>
      <c r="K55" s="18"/>
      <c r="L55" s="18"/>
    </row>
    <row r="56" spans="7:12" ht="15.75" x14ac:dyDescent="0.25">
      <c r="G56" s="6"/>
      <c r="H56" s="7">
        <v>1500</v>
      </c>
      <c r="I56" s="182" t="s">
        <v>464</v>
      </c>
      <c r="J56" s="183"/>
      <c r="K56" s="18"/>
      <c r="L56" s="18"/>
    </row>
    <row r="57" spans="7:12" ht="15.75" x14ac:dyDescent="0.25">
      <c r="G57" s="6"/>
      <c r="H57" s="4">
        <v>749.6</v>
      </c>
      <c r="I57" s="182" t="s">
        <v>463</v>
      </c>
      <c r="J57" s="183"/>
      <c r="K57" s="180"/>
      <c r="L57" s="180"/>
    </row>
    <row r="58" spans="7:12" ht="15.75" x14ac:dyDescent="0.25">
      <c r="G58" s="6"/>
      <c r="H58" s="4">
        <v>151.19999999999999</v>
      </c>
      <c r="I58" s="182" t="s">
        <v>463</v>
      </c>
      <c r="J58" s="183"/>
      <c r="K58" s="180"/>
      <c r="L58" s="180"/>
    </row>
    <row r="59" spans="7:12" ht="15.75" x14ac:dyDescent="0.25">
      <c r="G59" s="6"/>
      <c r="H59" s="4">
        <v>1600</v>
      </c>
      <c r="I59" s="182" t="s">
        <v>471</v>
      </c>
      <c r="J59" s="183"/>
    </row>
    <row r="60" spans="7:12" ht="15.75" x14ac:dyDescent="0.25">
      <c r="G60" s="6"/>
      <c r="H60" s="4">
        <v>212.43</v>
      </c>
      <c r="I60" s="182" t="s">
        <v>492</v>
      </c>
      <c r="J60" s="183"/>
    </row>
    <row r="61" spans="7:12" ht="15.75" x14ac:dyDescent="0.25">
      <c r="G61" s="6"/>
      <c r="H61" s="4">
        <v>152.84</v>
      </c>
      <c r="I61" s="182" t="s">
        <v>500</v>
      </c>
      <c r="J61" s="183"/>
    </row>
    <row r="62" spans="7:12" ht="15.75" x14ac:dyDescent="0.25">
      <c r="G62" s="6"/>
      <c r="H62" s="4"/>
      <c r="I62" s="182"/>
      <c r="J62" s="183"/>
    </row>
    <row r="63" spans="7:12" ht="15.75" x14ac:dyDescent="0.25">
      <c r="G63" s="6"/>
      <c r="H63" s="4"/>
      <c r="I63" s="182"/>
      <c r="J63" s="183"/>
    </row>
    <row r="64" spans="7:12" ht="15.75" x14ac:dyDescent="0.25">
      <c r="G64" s="6"/>
      <c r="H64" s="35"/>
      <c r="I64" s="182"/>
      <c r="J64" s="183"/>
    </row>
    <row r="65" spans="7:12" ht="15.75" x14ac:dyDescent="0.25">
      <c r="G65" s="6"/>
      <c r="H65" s="35"/>
      <c r="I65" s="182"/>
      <c r="J65" s="183"/>
      <c r="K65" s="204" t="s">
        <v>451</v>
      </c>
      <c r="L65" s="205"/>
    </row>
    <row r="66" spans="7:12" ht="15.75" x14ac:dyDescent="0.25">
      <c r="G66" s="6"/>
      <c r="H66" s="35"/>
      <c r="I66" s="182"/>
      <c r="J66" s="183"/>
    </row>
    <row r="68" spans="7:12" x14ac:dyDescent="0.25">
      <c r="G68" s="180"/>
      <c r="H68" s="180"/>
      <c r="I68" s="180" t="s">
        <v>64</v>
      </c>
      <c r="J68" s="180"/>
    </row>
    <row r="69" spans="7:12" x14ac:dyDescent="0.25">
      <c r="G69" s="180"/>
      <c r="H69" s="180"/>
      <c r="I69" s="180" t="s">
        <v>65</v>
      </c>
      <c r="J69" s="180"/>
      <c r="K69" s="180" t="s">
        <v>64</v>
      </c>
      <c r="L69" s="180"/>
    </row>
    <row r="70" spans="7:12" x14ac:dyDescent="0.25">
      <c r="K70" s="180" t="s">
        <v>67</v>
      </c>
      <c r="L70" s="180"/>
    </row>
  </sheetData>
  <mergeCells count="94">
    <mergeCell ref="I3:J3"/>
    <mergeCell ref="I4:J4"/>
    <mergeCell ref="A17:B17"/>
    <mergeCell ref="D18:E18"/>
    <mergeCell ref="I22:J22"/>
    <mergeCell ref="I16:J16"/>
    <mergeCell ref="I17:J17"/>
    <mergeCell ref="I6:J6"/>
    <mergeCell ref="I5:J5"/>
    <mergeCell ref="I10:J10"/>
    <mergeCell ref="I12:J12"/>
    <mergeCell ref="I11:J11"/>
    <mergeCell ref="I9:J9"/>
    <mergeCell ref="I18:J18"/>
    <mergeCell ref="I19:J19"/>
    <mergeCell ref="I8:J8"/>
    <mergeCell ref="A1:B1"/>
    <mergeCell ref="D1:E1"/>
    <mergeCell ref="G1:L1"/>
    <mergeCell ref="A2:B2"/>
    <mergeCell ref="D2:E2"/>
    <mergeCell ref="I2:J2"/>
    <mergeCell ref="A24:B24"/>
    <mergeCell ref="I27:J27"/>
    <mergeCell ref="I28:J28"/>
    <mergeCell ref="I29:J29"/>
    <mergeCell ref="D27:E27"/>
    <mergeCell ref="A28:F30"/>
    <mergeCell ref="I24:J24"/>
    <mergeCell ref="A32:B32"/>
    <mergeCell ref="C32:D32"/>
    <mergeCell ref="E32:F32"/>
    <mergeCell ref="I35:J35"/>
    <mergeCell ref="I25:J25"/>
    <mergeCell ref="I30:J30"/>
    <mergeCell ref="I31:J31"/>
    <mergeCell ref="I32:J32"/>
    <mergeCell ref="A33:B33"/>
    <mergeCell ref="C33:D33"/>
    <mergeCell ref="E33:F33"/>
    <mergeCell ref="I26:J26"/>
    <mergeCell ref="K48:L48"/>
    <mergeCell ref="I38:J38"/>
    <mergeCell ref="I39:J39"/>
    <mergeCell ref="I40:J40"/>
    <mergeCell ref="I45:J45"/>
    <mergeCell ref="H46:L46"/>
    <mergeCell ref="K47:L47"/>
    <mergeCell ref="I41:J41"/>
    <mergeCell ref="I42:J42"/>
    <mergeCell ref="I43:J43"/>
    <mergeCell ref="I44:J44"/>
    <mergeCell ref="I36:J36"/>
    <mergeCell ref="I37:J37"/>
    <mergeCell ref="I33:J33"/>
    <mergeCell ref="I34:J34"/>
    <mergeCell ref="G49:H49"/>
    <mergeCell ref="I49:J49"/>
    <mergeCell ref="G48:H48"/>
    <mergeCell ref="I48:J48"/>
    <mergeCell ref="K49:L49"/>
    <mergeCell ref="K50:L50"/>
    <mergeCell ref="G53:J53"/>
    <mergeCell ref="K53:L53"/>
    <mergeCell ref="I54:J54"/>
    <mergeCell ref="K54:L54"/>
    <mergeCell ref="K70:L70"/>
    <mergeCell ref="I55:J55"/>
    <mergeCell ref="I56:J56"/>
    <mergeCell ref="K57:L57"/>
    <mergeCell ref="I66:J66"/>
    <mergeCell ref="I57:J57"/>
    <mergeCell ref="K58:L58"/>
    <mergeCell ref="I58:J58"/>
    <mergeCell ref="I59:J59"/>
    <mergeCell ref="I60:J60"/>
    <mergeCell ref="I61:J61"/>
    <mergeCell ref="I62:J62"/>
    <mergeCell ref="I63:J63"/>
    <mergeCell ref="I64:J64"/>
    <mergeCell ref="K65:L65"/>
    <mergeCell ref="I65:J65"/>
    <mergeCell ref="G68:H68"/>
    <mergeCell ref="I68:J68"/>
    <mergeCell ref="K69:L69"/>
    <mergeCell ref="G69:H69"/>
    <mergeCell ref="I69:J69"/>
    <mergeCell ref="I21:J21"/>
    <mergeCell ref="I23:J23"/>
    <mergeCell ref="I7:J7"/>
    <mergeCell ref="I13:J13"/>
    <mergeCell ref="I14:J14"/>
    <mergeCell ref="I15:J15"/>
    <mergeCell ref="I20:J20"/>
  </mergeCells>
  <pageMargins left="0.511811024" right="0.511811024" top="0.78740157499999996" bottom="0.78740157499999996" header="0.31496062000000002" footer="0.31496062000000002"/>
  <pageSetup paperSize="9" orientation="landscape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T48"/>
  <sheetViews>
    <sheetView topLeftCell="G4" workbookViewId="0">
      <selection activeCell="G4" sqref="G4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  <col min="15" max="15" width="11.85546875" bestFit="1" customWidth="1"/>
    <col min="16" max="16" width="13.5703125" bestFit="1" customWidth="1"/>
    <col min="17" max="17" width="25.28515625" customWidth="1"/>
    <col min="18" max="18" width="32.28515625" customWidth="1"/>
    <col min="19" max="19" width="27.7109375" customWidth="1"/>
    <col min="20" max="20" width="17.42578125" customWidth="1"/>
  </cols>
  <sheetData>
    <row r="1" spans="1:20" ht="18.75" x14ac:dyDescent="0.3">
      <c r="A1" s="184" t="s">
        <v>494</v>
      </c>
      <c r="B1" s="184"/>
      <c r="C1" s="10"/>
      <c r="D1" s="199" t="s">
        <v>55</v>
      </c>
      <c r="E1" s="200"/>
      <c r="G1" s="184" t="s">
        <v>497</v>
      </c>
      <c r="H1" s="184"/>
      <c r="I1" s="184"/>
      <c r="J1" s="184"/>
      <c r="K1" s="184"/>
      <c r="L1" s="184"/>
      <c r="O1" s="184" t="s">
        <v>497</v>
      </c>
      <c r="P1" s="184"/>
      <c r="Q1" s="184"/>
      <c r="R1" s="184"/>
      <c r="S1" s="184"/>
      <c r="T1" s="184"/>
    </row>
    <row r="2" spans="1:20" ht="18.75" x14ac:dyDescent="0.3">
      <c r="A2" s="184" t="s">
        <v>493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  <c r="O2" s="12" t="s">
        <v>1</v>
      </c>
      <c r="P2" s="13" t="s">
        <v>6</v>
      </c>
      <c r="Q2" s="185" t="s">
        <v>7</v>
      </c>
      <c r="R2" s="186"/>
      <c r="S2" s="13" t="s">
        <v>8</v>
      </c>
      <c r="T2" s="13" t="s">
        <v>9</v>
      </c>
    </row>
    <row r="3" spans="1:20" ht="15.75" x14ac:dyDescent="0.25">
      <c r="A3" s="2" t="s">
        <v>2</v>
      </c>
      <c r="B3" s="3">
        <f>H24</f>
        <v>15506.28</v>
      </c>
      <c r="C3" s="11"/>
      <c r="D3" s="5">
        <v>42841</v>
      </c>
      <c r="E3" s="21">
        <v>200</v>
      </c>
      <c r="F3" t="s">
        <v>478</v>
      </c>
      <c r="G3" s="6">
        <v>42859</v>
      </c>
      <c r="H3" s="7">
        <v>78.2</v>
      </c>
      <c r="I3" s="187" t="s">
        <v>501</v>
      </c>
      <c r="J3" s="188"/>
      <c r="K3" s="8" t="s">
        <v>318</v>
      </c>
      <c r="L3" s="8" t="s">
        <v>268</v>
      </c>
      <c r="O3" s="6">
        <v>42836</v>
      </c>
      <c r="P3" s="7">
        <v>250</v>
      </c>
      <c r="Q3" s="187" t="s">
        <v>366</v>
      </c>
      <c r="R3" s="188"/>
      <c r="S3" s="8" t="s">
        <v>477</v>
      </c>
      <c r="T3" s="8" t="s">
        <v>268</v>
      </c>
    </row>
    <row r="4" spans="1:20" ht="15.75" x14ac:dyDescent="0.25">
      <c r="A4" s="2" t="s">
        <v>3</v>
      </c>
      <c r="B4" s="3"/>
      <c r="C4" s="11"/>
      <c r="D4" s="5">
        <v>42860</v>
      </c>
      <c r="E4" s="21">
        <v>100</v>
      </c>
      <c r="F4" t="s">
        <v>386</v>
      </c>
      <c r="G4" s="6">
        <v>42859</v>
      </c>
      <c r="H4" s="7">
        <v>375</v>
      </c>
      <c r="I4" s="212" t="s">
        <v>366</v>
      </c>
      <c r="J4" s="213"/>
      <c r="K4" s="8" t="s">
        <v>421</v>
      </c>
      <c r="L4" s="8" t="s">
        <v>268</v>
      </c>
      <c r="O4" s="6">
        <v>42836</v>
      </c>
      <c r="P4" s="7">
        <v>300</v>
      </c>
      <c r="Q4" s="187"/>
      <c r="R4" s="188"/>
      <c r="S4" s="8"/>
      <c r="T4" s="8" t="s">
        <v>240</v>
      </c>
    </row>
    <row r="5" spans="1:20" ht="15.75" x14ac:dyDescent="0.25">
      <c r="A5" s="2" t="s">
        <v>4</v>
      </c>
      <c r="B5" s="3">
        <f>SUM(H33:H45)</f>
        <v>4797.97</v>
      </c>
      <c r="C5" s="11"/>
      <c r="D5" s="5">
        <v>42864</v>
      </c>
      <c r="E5" s="21">
        <v>992</v>
      </c>
      <c r="F5" t="s">
        <v>508</v>
      </c>
      <c r="G5" s="6">
        <v>42859</v>
      </c>
      <c r="H5" s="7">
        <v>500</v>
      </c>
      <c r="I5" s="212" t="s">
        <v>366</v>
      </c>
      <c r="J5" s="213"/>
      <c r="K5" s="8" t="s">
        <v>502</v>
      </c>
      <c r="L5" s="8" t="s">
        <v>268</v>
      </c>
      <c r="O5" s="6">
        <v>42837</v>
      </c>
      <c r="P5" s="7">
        <v>300</v>
      </c>
      <c r="Q5" s="187" t="s">
        <v>453</v>
      </c>
      <c r="R5" s="188"/>
      <c r="S5" s="8" t="s">
        <v>2270</v>
      </c>
      <c r="T5" s="8" t="s">
        <v>267</v>
      </c>
    </row>
    <row r="6" spans="1:20" ht="15.75" x14ac:dyDescent="0.25">
      <c r="A6" s="2"/>
      <c r="B6" s="3"/>
      <c r="C6" s="11"/>
      <c r="D6" s="22">
        <v>42894</v>
      </c>
      <c r="E6" s="4">
        <v>500</v>
      </c>
      <c r="F6" t="s">
        <v>546</v>
      </c>
      <c r="G6" s="6">
        <v>42859</v>
      </c>
      <c r="H6" s="7">
        <v>300</v>
      </c>
      <c r="I6" s="187" t="s">
        <v>453</v>
      </c>
      <c r="J6" s="188"/>
      <c r="K6" s="8" t="s">
        <v>503</v>
      </c>
      <c r="L6" s="8" t="s">
        <v>267</v>
      </c>
      <c r="O6" s="6"/>
      <c r="P6" s="7"/>
      <c r="Q6" s="187"/>
      <c r="R6" s="188"/>
      <c r="S6" s="8"/>
      <c r="T6" s="8"/>
    </row>
    <row r="7" spans="1:20" ht="15.75" x14ac:dyDescent="0.25">
      <c r="A7" s="12" t="s">
        <v>5</v>
      </c>
      <c r="B7" s="25">
        <f>B3+B4-B5</f>
        <v>10708.310000000001</v>
      </c>
      <c r="C7" s="11"/>
      <c r="D7" s="22"/>
      <c r="E7" s="21"/>
      <c r="G7" s="6">
        <v>42860</v>
      </c>
      <c r="H7" s="7">
        <v>500</v>
      </c>
      <c r="I7" s="212" t="s">
        <v>483</v>
      </c>
      <c r="J7" s="213"/>
      <c r="K7" s="8" t="s">
        <v>504</v>
      </c>
      <c r="L7" s="8" t="s">
        <v>267</v>
      </c>
      <c r="O7" s="6">
        <v>42842</v>
      </c>
      <c r="P7" s="7">
        <v>500</v>
      </c>
      <c r="Q7" s="187" t="s">
        <v>162</v>
      </c>
      <c r="R7" s="188"/>
      <c r="S7" s="8" t="s">
        <v>442</v>
      </c>
      <c r="T7" s="8" t="s">
        <v>267</v>
      </c>
    </row>
    <row r="8" spans="1:20" ht="15.75" x14ac:dyDescent="0.25">
      <c r="A8" s="2"/>
      <c r="B8" s="3"/>
      <c r="C8" s="11"/>
      <c r="D8" s="22"/>
      <c r="E8" s="21"/>
      <c r="G8" s="6">
        <v>42860</v>
      </c>
      <c r="H8" s="7">
        <v>500</v>
      </c>
      <c r="I8" s="187" t="s">
        <v>505</v>
      </c>
      <c r="J8" s="188"/>
      <c r="K8" s="8" t="s">
        <v>308</v>
      </c>
      <c r="L8" s="8" t="s">
        <v>267</v>
      </c>
      <c r="O8" s="6">
        <v>42843</v>
      </c>
      <c r="P8" s="7">
        <v>300</v>
      </c>
      <c r="Q8" s="187"/>
      <c r="R8" s="188"/>
      <c r="S8" s="8"/>
      <c r="T8" s="8"/>
    </row>
    <row r="9" spans="1:20" ht="15.75" x14ac:dyDescent="0.25">
      <c r="A9" s="2" t="s">
        <v>14</v>
      </c>
      <c r="B9" s="3">
        <f>B7*0.1</f>
        <v>1070.8310000000001</v>
      </c>
      <c r="C9" s="11"/>
      <c r="D9" s="23"/>
      <c r="E9" s="24"/>
      <c r="G9" s="6">
        <v>42863</v>
      </c>
      <c r="H9" s="7">
        <v>1821</v>
      </c>
      <c r="I9" s="187" t="s">
        <v>46</v>
      </c>
      <c r="J9" s="188"/>
      <c r="K9" s="8" t="s">
        <v>434</v>
      </c>
      <c r="L9" s="8" t="s">
        <v>268</v>
      </c>
      <c r="O9" s="6">
        <v>42845</v>
      </c>
      <c r="P9" s="7">
        <v>1650</v>
      </c>
      <c r="Q9" s="187" t="s">
        <v>290</v>
      </c>
      <c r="R9" s="188"/>
      <c r="S9" s="8" t="s">
        <v>487</v>
      </c>
      <c r="T9" s="8" t="s">
        <v>268</v>
      </c>
    </row>
    <row r="10" spans="1:20" ht="15.75" x14ac:dyDescent="0.25">
      <c r="A10" s="2"/>
      <c r="B10" s="3"/>
      <c r="C10" s="11"/>
      <c r="D10" s="12"/>
      <c r="E10" s="12"/>
      <c r="G10" s="6">
        <v>42864</v>
      </c>
      <c r="H10" s="7">
        <v>3000</v>
      </c>
      <c r="I10" s="187" t="s">
        <v>506</v>
      </c>
      <c r="J10" s="188"/>
      <c r="K10" s="8" t="s">
        <v>1963</v>
      </c>
      <c r="L10" s="8" t="s">
        <v>267</v>
      </c>
      <c r="O10" s="6">
        <v>42845</v>
      </c>
      <c r="P10" s="7">
        <v>500</v>
      </c>
      <c r="Q10" s="187"/>
      <c r="R10" s="188"/>
      <c r="S10" s="8" t="s">
        <v>489</v>
      </c>
      <c r="T10" s="8"/>
    </row>
    <row r="11" spans="1:20" ht="15.75" x14ac:dyDescent="0.25">
      <c r="A11" s="2" t="s">
        <v>59</v>
      </c>
      <c r="B11" s="3">
        <f>(B7-B9)/2</f>
        <v>4818.7395000000006</v>
      </c>
      <c r="C11" s="11"/>
      <c r="D11" s="2"/>
      <c r="E11" s="2"/>
      <c r="G11" s="6">
        <v>42865</v>
      </c>
      <c r="H11" s="7">
        <v>800</v>
      </c>
      <c r="I11" s="187" t="s">
        <v>290</v>
      </c>
      <c r="J11" s="188"/>
      <c r="K11" s="8" t="s">
        <v>324</v>
      </c>
      <c r="L11" s="8" t="s">
        <v>268</v>
      </c>
      <c r="O11" s="6">
        <v>42845</v>
      </c>
      <c r="P11" s="7">
        <v>600</v>
      </c>
      <c r="Q11" s="187"/>
      <c r="R11" s="188"/>
      <c r="S11" s="8" t="s">
        <v>488</v>
      </c>
      <c r="T11" s="8"/>
    </row>
    <row r="12" spans="1:20" ht="15.75" x14ac:dyDescent="0.25">
      <c r="A12" s="2"/>
      <c r="B12" s="3"/>
      <c r="C12" s="11"/>
      <c r="D12" s="5"/>
      <c r="E12" s="21"/>
      <c r="G12" s="6">
        <v>42860</v>
      </c>
      <c r="H12" s="7">
        <v>2790.06</v>
      </c>
      <c r="I12" s="187" t="s">
        <v>165</v>
      </c>
      <c r="J12" s="188"/>
      <c r="K12" s="8" t="s">
        <v>2274</v>
      </c>
      <c r="L12" s="8" t="s">
        <v>267</v>
      </c>
      <c r="O12" s="6">
        <v>42845</v>
      </c>
      <c r="P12" s="7">
        <v>375</v>
      </c>
      <c r="Q12" s="187" t="s">
        <v>366</v>
      </c>
      <c r="R12" s="188"/>
      <c r="S12" s="8" t="s">
        <v>484</v>
      </c>
      <c r="T12" s="8" t="s">
        <v>268</v>
      </c>
    </row>
    <row r="13" spans="1:20" ht="15.75" x14ac:dyDescent="0.25">
      <c r="A13" s="2"/>
      <c r="B13" s="3"/>
      <c r="C13" s="11"/>
      <c r="D13" s="5"/>
      <c r="E13" s="21"/>
      <c r="G13" s="6">
        <v>42860</v>
      </c>
      <c r="H13" s="7">
        <v>962.1</v>
      </c>
      <c r="I13" s="187" t="s">
        <v>506</v>
      </c>
      <c r="J13" s="188"/>
      <c r="K13" s="8" t="s">
        <v>509</v>
      </c>
      <c r="L13" s="8" t="s">
        <v>267</v>
      </c>
      <c r="O13" s="6">
        <v>42845</v>
      </c>
      <c r="P13" s="7">
        <v>1200</v>
      </c>
      <c r="Q13" s="187" t="s">
        <v>341</v>
      </c>
      <c r="R13" s="188"/>
      <c r="S13" s="8" t="s">
        <v>318</v>
      </c>
      <c r="T13" s="8" t="s">
        <v>267</v>
      </c>
    </row>
    <row r="14" spans="1:20" ht="15.75" x14ac:dyDescent="0.25">
      <c r="A14" s="2"/>
      <c r="B14" s="3"/>
      <c r="C14" s="11"/>
      <c r="D14" s="5"/>
      <c r="E14" s="21"/>
      <c r="G14" s="6">
        <v>42865</v>
      </c>
      <c r="H14" s="7">
        <v>250</v>
      </c>
      <c r="I14" s="187" t="s">
        <v>366</v>
      </c>
      <c r="J14" s="188"/>
      <c r="K14" s="8" t="s">
        <v>462</v>
      </c>
      <c r="L14" s="8" t="s">
        <v>268</v>
      </c>
      <c r="O14" s="6">
        <v>42845</v>
      </c>
      <c r="P14" s="7">
        <v>500</v>
      </c>
      <c r="Q14" s="187" t="s">
        <v>366</v>
      </c>
      <c r="R14" s="188"/>
      <c r="S14" s="8" t="s">
        <v>383</v>
      </c>
      <c r="T14" s="8" t="s">
        <v>267</v>
      </c>
    </row>
    <row r="15" spans="1:20" ht="15.75" x14ac:dyDescent="0.25">
      <c r="A15" s="2"/>
      <c r="B15" s="3"/>
      <c r="C15" s="11"/>
      <c r="D15" s="22"/>
      <c r="E15" s="4"/>
      <c r="G15" s="6">
        <v>42865</v>
      </c>
      <c r="H15" s="7">
        <v>2721.92</v>
      </c>
      <c r="I15" s="187" t="s">
        <v>46</v>
      </c>
      <c r="J15" s="188"/>
      <c r="K15" s="8" t="s">
        <v>511</v>
      </c>
      <c r="L15" s="8" t="s">
        <v>268</v>
      </c>
      <c r="O15" s="6">
        <v>42845</v>
      </c>
      <c r="P15" s="7">
        <v>300</v>
      </c>
      <c r="Q15" s="187" t="s">
        <v>366</v>
      </c>
      <c r="R15" s="188"/>
      <c r="S15" s="8" t="s">
        <v>485</v>
      </c>
      <c r="T15" s="8" t="s">
        <v>268</v>
      </c>
    </row>
    <row r="16" spans="1:20" ht="15.75" x14ac:dyDescent="0.25">
      <c r="A16" s="2"/>
      <c r="B16" s="2"/>
      <c r="C16" s="1"/>
      <c r="D16" s="22"/>
      <c r="E16" s="21"/>
      <c r="G16" s="6">
        <v>42836</v>
      </c>
      <c r="H16" s="7">
        <v>334</v>
      </c>
      <c r="I16" s="212" t="s">
        <v>46</v>
      </c>
      <c r="J16" s="213"/>
      <c r="K16" s="8" t="s">
        <v>528</v>
      </c>
      <c r="L16" s="8" t="s">
        <v>528</v>
      </c>
      <c r="O16" s="6">
        <v>42851</v>
      </c>
      <c r="P16" s="7">
        <v>1500</v>
      </c>
      <c r="Q16" s="212" t="s">
        <v>191</v>
      </c>
      <c r="R16" s="213"/>
      <c r="S16" s="8" t="s">
        <v>487</v>
      </c>
      <c r="T16" s="8" t="s">
        <v>267</v>
      </c>
    </row>
    <row r="17" spans="1:20" ht="15.75" x14ac:dyDescent="0.25">
      <c r="A17" s="198" t="s">
        <v>56</v>
      </c>
      <c r="B17" s="198"/>
      <c r="C17" s="1"/>
      <c r="D17" s="23" t="s">
        <v>23</v>
      </c>
      <c r="E17" s="24">
        <f>SUM(E3:E16)</f>
        <v>1792</v>
      </c>
      <c r="G17" s="6">
        <v>42842</v>
      </c>
      <c r="H17" s="7">
        <v>240</v>
      </c>
      <c r="I17" s="212" t="s">
        <v>46</v>
      </c>
      <c r="J17" s="213"/>
      <c r="K17" s="8" t="s">
        <v>456</v>
      </c>
      <c r="L17" s="8" t="s">
        <v>268</v>
      </c>
      <c r="O17" s="6">
        <v>42851</v>
      </c>
      <c r="P17" s="7">
        <v>250</v>
      </c>
      <c r="Q17" s="212"/>
      <c r="R17" s="213"/>
      <c r="S17" s="8" t="s">
        <v>490</v>
      </c>
      <c r="T17" s="8"/>
    </row>
    <row r="18" spans="1:20" ht="15.75" x14ac:dyDescent="0.25">
      <c r="A18" s="2"/>
      <c r="B18" s="3"/>
      <c r="C18" s="1"/>
      <c r="D18" s="189" t="s">
        <v>12</v>
      </c>
      <c r="E18" s="190"/>
      <c r="G18" s="6">
        <v>42852</v>
      </c>
      <c r="H18" s="7">
        <v>334</v>
      </c>
      <c r="I18" s="187" t="s">
        <v>527</v>
      </c>
      <c r="J18" s="188"/>
      <c r="K18" s="8" t="s">
        <v>528</v>
      </c>
      <c r="L18" s="8" t="s">
        <v>528</v>
      </c>
      <c r="O18" s="6">
        <v>42857</v>
      </c>
      <c r="P18" s="7">
        <v>500</v>
      </c>
      <c r="Q18" s="187" t="s">
        <v>499</v>
      </c>
      <c r="R18" s="188"/>
      <c r="S18" s="8" t="s">
        <v>2269</v>
      </c>
      <c r="T18" s="8" t="s">
        <v>267</v>
      </c>
    </row>
    <row r="19" spans="1:20" ht="15.75" x14ac:dyDescent="0.25">
      <c r="A19" s="2" t="s">
        <v>57</v>
      </c>
      <c r="B19" s="3">
        <f>B11-E17</f>
        <v>3026.7395000000006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  <c r="O19" s="6"/>
      <c r="P19" s="7"/>
      <c r="Q19" s="187"/>
      <c r="R19" s="188"/>
      <c r="S19" s="8"/>
      <c r="T19" s="8"/>
    </row>
    <row r="20" spans="1:20" ht="15.75" x14ac:dyDescent="0.25">
      <c r="A20" s="2" t="s">
        <v>12</v>
      </c>
      <c r="B20" s="3">
        <f>B11-E25</f>
        <v>4818.7395000000006</v>
      </c>
      <c r="C20" s="1"/>
      <c r="D20" s="5"/>
      <c r="E20" s="21"/>
      <c r="G20" s="6"/>
      <c r="H20" s="7"/>
      <c r="I20" s="212"/>
      <c r="J20" s="213"/>
      <c r="K20" s="8"/>
      <c r="L20" s="8"/>
      <c r="O20" s="6"/>
      <c r="P20" s="7"/>
      <c r="Q20" s="212"/>
      <c r="R20" s="213"/>
      <c r="S20" s="8"/>
      <c r="T20" s="8"/>
    </row>
    <row r="21" spans="1:20" ht="15.75" x14ac:dyDescent="0.25">
      <c r="A21" s="2"/>
      <c r="B21" s="2"/>
      <c r="C21" s="1"/>
      <c r="D21" s="5"/>
      <c r="E21" s="21"/>
      <c r="G21" s="6"/>
      <c r="H21" s="7"/>
      <c r="I21" s="212"/>
      <c r="J21" s="213"/>
      <c r="K21" s="8"/>
      <c r="L21" s="8"/>
      <c r="O21" s="6"/>
      <c r="P21" s="7"/>
      <c r="Q21" s="212"/>
      <c r="R21" s="213"/>
      <c r="S21" s="8"/>
      <c r="T21" s="8"/>
    </row>
    <row r="22" spans="1:20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  <c r="O22" s="6"/>
      <c r="P22" s="7"/>
      <c r="Q22" s="187"/>
      <c r="R22" s="188"/>
      <c r="S22" s="8"/>
      <c r="T22" s="8"/>
    </row>
    <row r="23" spans="1:20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  <c r="O23" s="6"/>
      <c r="P23" s="7"/>
      <c r="Q23" s="212"/>
      <c r="R23" s="213"/>
      <c r="S23" s="8"/>
      <c r="T23" s="8"/>
    </row>
    <row r="24" spans="1:20" ht="15.75" x14ac:dyDescent="0.25">
      <c r="A24" s="196" t="s">
        <v>498</v>
      </c>
      <c r="B24" s="196"/>
      <c r="C24" s="1"/>
      <c r="D24" s="22"/>
      <c r="E24" s="21"/>
      <c r="F24" s="1"/>
      <c r="G24" s="6" t="s">
        <v>23</v>
      </c>
      <c r="H24" s="193">
        <f>SUM(H3:H23)</f>
        <v>15506.28</v>
      </c>
      <c r="I24" s="194"/>
      <c r="J24" s="194"/>
      <c r="K24" s="194"/>
      <c r="L24" s="195"/>
      <c r="O24" s="6"/>
      <c r="P24" s="7"/>
      <c r="Q24" s="187"/>
      <c r="R24" s="188"/>
      <c r="S24" s="8"/>
      <c r="T24" s="8"/>
    </row>
    <row r="25" spans="1:20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1"/>
      <c r="H25" s="1"/>
      <c r="I25" s="1"/>
      <c r="J25" s="1"/>
      <c r="K25" s="196" t="s">
        <v>498</v>
      </c>
      <c r="L25" s="196"/>
      <c r="O25" s="6" t="s">
        <v>23</v>
      </c>
      <c r="P25" s="193">
        <f>SUM(P3:P24)</f>
        <v>9025</v>
      </c>
      <c r="Q25" s="194"/>
      <c r="R25" s="194"/>
      <c r="S25" s="194"/>
      <c r="T25" s="195"/>
    </row>
    <row r="26" spans="1:20" ht="15.75" x14ac:dyDescent="0.25">
      <c r="A26" s="1"/>
      <c r="B26" s="1"/>
      <c r="C26" s="1"/>
      <c r="D26" s="17"/>
      <c r="E26" s="17"/>
      <c r="F26" s="1"/>
      <c r="G26" s="180"/>
      <c r="H26" s="180"/>
      <c r="I26" s="180" t="s">
        <v>69</v>
      </c>
      <c r="J26" s="180"/>
      <c r="K26" s="180" t="s">
        <v>69</v>
      </c>
      <c r="L26" s="180"/>
    </row>
    <row r="27" spans="1:20" ht="18.75" x14ac:dyDescent="0.3">
      <c r="A27" s="17"/>
      <c r="B27" s="17"/>
      <c r="C27" s="17"/>
      <c r="D27" s="178"/>
      <c r="E27" s="178"/>
      <c r="F27" s="9"/>
      <c r="G27" s="180"/>
      <c r="H27" s="180"/>
      <c r="I27" s="180" t="s">
        <v>65</v>
      </c>
      <c r="J27" s="180"/>
      <c r="K27" s="180" t="s">
        <v>67</v>
      </c>
      <c r="L27" s="180"/>
    </row>
    <row r="28" spans="1:20" x14ac:dyDescent="0.25">
      <c r="A28" s="209"/>
      <c r="B28" s="209"/>
      <c r="C28" s="209"/>
      <c r="D28" s="209"/>
      <c r="E28" s="209"/>
      <c r="F28" s="209"/>
      <c r="K28" s="180"/>
      <c r="L28" s="180"/>
    </row>
    <row r="29" spans="1:20" x14ac:dyDescent="0.25">
      <c r="A29" s="209"/>
      <c r="B29" s="209"/>
      <c r="C29" s="209"/>
      <c r="D29" s="209"/>
      <c r="E29" s="209"/>
      <c r="F29" s="209"/>
      <c r="K29" s="18"/>
      <c r="L29" s="18"/>
    </row>
    <row r="30" spans="1:20" x14ac:dyDescent="0.25">
      <c r="A30" s="209"/>
      <c r="B30" s="209"/>
      <c r="C30" s="209"/>
      <c r="D30" s="209"/>
      <c r="E30" s="209"/>
      <c r="F30" s="209"/>
      <c r="K30" s="18"/>
      <c r="L30" s="18"/>
    </row>
    <row r="31" spans="1:20" ht="18.75" x14ac:dyDescent="0.3">
      <c r="A31" s="17"/>
      <c r="B31" s="29"/>
      <c r="C31" s="29"/>
      <c r="D31" s="29"/>
      <c r="E31" s="20"/>
      <c r="F31" s="1"/>
      <c r="G31" s="184" t="s">
        <v>25</v>
      </c>
      <c r="H31" s="184"/>
      <c r="I31" s="184"/>
      <c r="J31" s="184"/>
      <c r="K31" s="180"/>
      <c r="L31" s="180"/>
    </row>
    <row r="32" spans="1:20" ht="15.75" x14ac:dyDescent="0.25">
      <c r="A32" s="178"/>
      <c r="B32" s="178"/>
      <c r="C32" s="178"/>
      <c r="D32" s="178"/>
      <c r="E32" s="178"/>
      <c r="F32" s="178"/>
      <c r="G32" s="2" t="s">
        <v>1</v>
      </c>
      <c r="H32" s="2" t="s">
        <v>6</v>
      </c>
      <c r="I32" s="182" t="s">
        <v>13</v>
      </c>
      <c r="J32" s="183"/>
      <c r="K32" s="180"/>
      <c r="L32" s="180"/>
    </row>
    <row r="33" spans="1:12" ht="15.75" x14ac:dyDescent="0.25">
      <c r="A33" s="180"/>
      <c r="B33" s="180"/>
      <c r="C33" s="180"/>
      <c r="D33" s="180"/>
      <c r="E33" s="180"/>
      <c r="F33" s="180"/>
      <c r="G33" s="6"/>
      <c r="H33" s="7">
        <v>1500</v>
      </c>
      <c r="I33" s="182" t="s">
        <v>173</v>
      </c>
      <c r="J33" s="183"/>
      <c r="K33" s="18"/>
      <c r="L33" s="18"/>
    </row>
    <row r="34" spans="1:12" ht="15.75" x14ac:dyDescent="0.25">
      <c r="G34" s="6"/>
      <c r="H34" s="7">
        <v>235</v>
      </c>
      <c r="I34" s="182" t="s">
        <v>512</v>
      </c>
      <c r="J34" s="183"/>
      <c r="K34" s="18"/>
      <c r="L34" s="18"/>
    </row>
    <row r="35" spans="1:12" ht="15.75" x14ac:dyDescent="0.25">
      <c r="G35" s="6"/>
      <c r="H35" s="7">
        <v>200</v>
      </c>
      <c r="I35" s="182" t="s">
        <v>209</v>
      </c>
      <c r="J35" s="183"/>
      <c r="K35" s="180"/>
      <c r="L35" s="180"/>
    </row>
    <row r="36" spans="1:12" ht="15.75" x14ac:dyDescent="0.25">
      <c r="G36" s="6"/>
      <c r="H36" s="4">
        <v>49</v>
      </c>
      <c r="I36" s="182" t="s">
        <v>422</v>
      </c>
      <c r="J36" s="183"/>
      <c r="K36" s="180"/>
      <c r="L36" s="180"/>
    </row>
    <row r="37" spans="1:12" ht="15.75" x14ac:dyDescent="0.25">
      <c r="G37" s="6"/>
      <c r="H37" s="4">
        <v>144.07</v>
      </c>
      <c r="I37" s="182" t="s">
        <v>262</v>
      </c>
      <c r="J37" s="183"/>
    </row>
    <row r="38" spans="1:12" ht="15.75" x14ac:dyDescent="0.25">
      <c r="G38" s="6"/>
      <c r="H38" s="4">
        <v>69.900000000000006</v>
      </c>
      <c r="I38" s="182" t="s">
        <v>510</v>
      </c>
      <c r="J38" s="183"/>
    </row>
    <row r="39" spans="1:12" ht="15.75" x14ac:dyDescent="0.25">
      <c r="G39" s="6"/>
      <c r="H39" s="4">
        <v>2600</v>
      </c>
      <c r="I39" s="182" t="s">
        <v>519</v>
      </c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35"/>
      <c r="I43" s="182"/>
      <c r="J43" s="183"/>
      <c r="K43" s="204" t="s">
        <v>526</v>
      </c>
      <c r="L43" s="205"/>
    </row>
    <row r="44" spans="1:12" ht="15.75" x14ac:dyDescent="0.25">
      <c r="G44" s="6"/>
      <c r="H44" s="35"/>
      <c r="I44" s="182"/>
      <c r="J44" s="183"/>
    </row>
    <row r="45" spans="1:12" ht="15.75" x14ac:dyDescent="0.25">
      <c r="G45" s="6"/>
      <c r="H45" s="35"/>
      <c r="I45" s="182"/>
      <c r="J45" s="183"/>
    </row>
    <row r="47" spans="1:12" x14ac:dyDescent="0.25">
      <c r="G47" s="180"/>
      <c r="H47" s="180"/>
      <c r="I47" s="180" t="s">
        <v>64</v>
      </c>
      <c r="J47" s="180"/>
      <c r="K47" s="180" t="s">
        <v>64</v>
      </c>
      <c r="L47" s="180"/>
    </row>
    <row r="48" spans="1:12" x14ac:dyDescent="0.25">
      <c r="G48" s="180"/>
      <c r="H48" s="180"/>
      <c r="I48" s="180" t="s">
        <v>65</v>
      </c>
      <c r="J48" s="180"/>
      <c r="K48" s="180" t="s">
        <v>67</v>
      </c>
      <c r="L48" s="180"/>
    </row>
  </sheetData>
  <mergeCells count="98">
    <mergeCell ref="Q20:R20"/>
    <mergeCell ref="P25:T25"/>
    <mergeCell ref="Q21:R21"/>
    <mergeCell ref="Q22:R22"/>
    <mergeCell ref="Q23:R23"/>
    <mergeCell ref="Q24:R24"/>
    <mergeCell ref="Q15:R15"/>
    <mergeCell ref="Q16:R16"/>
    <mergeCell ref="Q17:R17"/>
    <mergeCell ref="Q18:R18"/>
    <mergeCell ref="Q19:R19"/>
    <mergeCell ref="Q10:R10"/>
    <mergeCell ref="Q11:R11"/>
    <mergeCell ref="Q12:R12"/>
    <mergeCell ref="Q13:R13"/>
    <mergeCell ref="Q14:R14"/>
    <mergeCell ref="I9:J9"/>
    <mergeCell ref="O1:T1"/>
    <mergeCell ref="Q2:R2"/>
    <mergeCell ref="Q3:R3"/>
    <mergeCell ref="Q4:R4"/>
    <mergeCell ref="Q5:R5"/>
    <mergeCell ref="Q6:R6"/>
    <mergeCell ref="Q7:R7"/>
    <mergeCell ref="Q8:R8"/>
    <mergeCell ref="Q9:R9"/>
    <mergeCell ref="I6:J6"/>
    <mergeCell ref="I22:J22"/>
    <mergeCell ref="I14:J14"/>
    <mergeCell ref="A1:B1"/>
    <mergeCell ref="D1:E1"/>
    <mergeCell ref="G1:L1"/>
    <mergeCell ref="A2:B2"/>
    <mergeCell ref="D2:E2"/>
    <mergeCell ref="I2:J2"/>
    <mergeCell ref="I3:J3"/>
    <mergeCell ref="I4:J4"/>
    <mergeCell ref="I10:J10"/>
    <mergeCell ref="I12:J12"/>
    <mergeCell ref="I13:J13"/>
    <mergeCell ref="I5:J5"/>
    <mergeCell ref="I7:J7"/>
    <mergeCell ref="I8:J8"/>
    <mergeCell ref="I18:J18"/>
    <mergeCell ref="D18:E18"/>
    <mergeCell ref="I19:J19"/>
    <mergeCell ref="I20:J20"/>
    <mergeCell ref="I21:J21"/>
    <mergeCell ref="I11:J11"/>
    <mergeCell ref="A33:B33"/>
    <mergeCell ref="C33:D33"/>
    <mergeCell ref="E33:F33"/>
    <mergeCell ref="D27:E27"/>
    <mergeCell ref="A28:F30"/>
    <mergeCell ref="A32:B32"/>
    <mergeCell ref="C32:D32"/>
    <mergeCell ref="E32:F32"/>
    <mergeCell ref="G26:H26"/>
    <mergeCell ref="I26:J26"/>
    <mergeCell ref="A24:B24"/>
    <mergeCell ref="I15:J15"/>
    <mergeCell ref="I16:J16"/>
    <mergeCell ref="I17:J17"/>
    <mergeCell ref="A17:B17"/>
    <mergeCell ref="K26:L26"/>
    <mergeCell ref="I23:J23"/>
    <mergeCell ref="H24:L24"/>
    <mergeCell ref="K25:L25"/>
    <mergeCell ref="G27:H27"/>
    <mergeCell ref="I27:J27"/>
    <mergeCell ref="K27:L27"/>
    <mergeCell ref="K28:L28"/>
    <mergeCell ref="G31:J31"/>
    <mergeCell ref="K31:L31"/>
    <mergeCell ref="I43:J43"/>
    <mergeCell ref="K43:L43"/>
    <mergeCell ref="I32:J32"/>
    <mergeCell ref="K32:L32"/>
    <mergeCell ref="I33:J33"/>
    <mergeCell ref="I34:J34"/>
    <mergeCell ref="I35:J35"/>
    <mergeCell ref="K35:L35"/>
    <mergeCell ref="G47:H47"/>
    <mergeCell ref="I47:J47"/>
    <mergeCell ref="K47:L47"/>
    <mergeCell ref="G48:H48"/>
    <mergeCell ref="I48:J48"/>
    <mergeCell ref="K48:L48"/>
    <mergeCell ref="I45:J45"/>
    <mergeCell ref="I36:J36"/>
    <mergeCell ref="K36:L36"/>
    <mergeCell ref="I37:J37"/>
    <mergeCell ref="I38:J38"/>
    <mergeCell ref="I39:J39"/>
    <mergeCell ref="I40:J40"/>
    <mergeCell ref="I41:J41"/>
    <mergeCell ref="I42:J42"/>
    <mergeCell ref="I44:J44"/>
  </mergeCells>
  <pageMargins left="0.511811024" right="0.511811024" top="0.78740157499999996" bottom="0.78740157499999996" header="0.31496062000000002" footer="0.31496062000000002"/>
  <pageSetup paperSize="9" orientation="landscape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L56"/>
  <sheetViews>
    <sheetView topLeftCell="G13" workbookViewId="0">
      <selection activeCell="G24" sqref="G24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552</v>
      </c>
      <c r="B1" s="184"/>
      <c r="C1" s="10"/>
      <c r="D1" s="199" t="s">
        <v>55</v>
      </c>
      <c r="E1" s="200"/>
      <c r="G1" s="184" t="s">
        <v>516</v>
      </c>
      <c r="H1" s="184"/>
      <c r="I1" s="184"/>
      <c r="J1" s="184"/>
      <c r="K1" s="184"/>
      <c r="L1" s="184"/>
    </row>
    <row r="2" spans="1:12" ht="18.75" x14ac:dyDescent="0.3">
      <c r="A2" s="184" t="s">
        <v>513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H32</f>
        <v>18667</v>
      </c>
      <c r="C3" s="11"/>
      <c r="D3" s="5">
        <v>42873</v>
      </c>
      <c r="E3" s="21">
        <v>200</v>
      </c>
      <c r="G3" s="6">
        <v>42867</v>
      </c>
      <c r="H3" s="7">
        <v>250</v>
      </c>
      <c r="I3" s="187" t="s">
        <v>518</v>
      </c>
      <c r="J3" s="188"/>
      <c r="K3" s="8" t="s">
        <v>517</v>
      </c>
      <c r="L3" s="8" t="s">
        <v>268</v>
      </c>
    </row>
    <row r="4" spans="1:12" ht="15.75" x14ac:dyDescent="0.25">
      <c r="A4" s="2" t="s">
        <v>3</v>
      </c>
      <c r="B4" s="3"/>
      <c r="C4" s="11"/>
      <c r="D4" s="5">
        <v>42884</v>
      </c>
      <c r="E4" s="21">
        <v>566.75</v>
      </c>
      <c r="F4" t="s">
        <v>540</v>
      </c>
      <c r="G4" s="6">
        <v>42867</v>
      </c>
      <c r="H4" s="7">
        <v>500</v>
      </c>
      <c r="I4" s="212" t="s">
        <v>521</v>
      </c>
      <c r="J4" s="213"/>
      <c r="K4" s="8" t="s">
        <v>2226</v>
      </c>
      <c r="L4" s="8" t="s">
        <v>267</v>
      </c>
    </row>
    <row r="5" spans="1:12" ht="15.75" x14ac:dyDescent="0.25">
      <c r="A5" s="2" t="s">
        <v>4</v>
      </c>
      <c r="B5" s="3">
        <f>SUM(H41:H53)</f>
        <v>10506.939999999999</v>
      </c>
      <c r="C5" s="11"/>
      <c r="D5" s="5"/>
      <c r="E5" s="21">
        <v>117</v>
      </c>
      <c r="F5" t="s">
        <v>437</v>
      </c>
      <c r="G5" s="6">
        <v>42870</v>
      </c>
      <c r="H5" s="7">
        <v>3750</v>
      </c>
      <c r="I5" s="212" t="s">
        <v>46</v>
      </c>
      <c r="J5" s="213"/>
      <c r="K5" s="8" t="s">
        <v>520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42870</v>
      </c>
      <c r="H6" s="7">
        <v>700</v>
      </c>
      <c r="I6" s="187" t="s">
        <v>426</v>
      </c>
      <c r="J6" s="188"/>
      <c r="K6" s="8" t="s">
        <v>522</v>
      </c>
      <c r="L6" s="8" t="s">
        <v>267</v>
      </c>
    </row>
    <row r="7" spans="1:12" ht="15.75" x14ac:dyDescent="0.25">
      <c r="A7" s="12" t="s">
        <v>5</v>
      </c>
      <c r="B7" s="25">
        <f>B3+B4-B5</f>
        <v>8160.0600000000013</v>
      </c>
      <c r="C7" s="11"/>
      <c r="D7" s="22"/>
      <c r="E7" s="21"/>
      <c r="G7" s="6">
        <v>42870</v>
      </c>
      <c r="H7" s="7">
        <v>400</v>
      </c>
      <c r="I7" s="212" t="s">
        <v>524</v>
      </c>
      <c r="J7" s="213"/>
      <c r="K7" s="8" t="s">
        <v>525</v>
      </c>
      <c r="L7" s="8" t="s">
        <v>267</v>
      </c>
    </row>
    <row r="8" spans="1:12" ht="15.75" x14ac:dyDescent="0.25">
      <c r="A8" s="2"/>
      <c r="B8" s="3"/>
      <c r="C8" s="11"/>
      <c r="D8" s="22"/>
      <c r="E8" s="21"/>
      <c r="G8" s="6">
        <v>42871</v>
      </c>
      <c r="H8" s="7">
        <v>300</v>
      </c>
      <c r="I8" s="187" t="s">
        <v>453</v>
      </c>
      <c r="J8" s="188"/>
      <c r="K8" s="8" t="s">
        <v>2270</v>
      </c>
      <c r="L8" s="8" t="s">
        <v>267</v>
      </c>
    </row>
    <row r="9" spans="1:12" ht="15.75" x14ac:dyDescent="0.25">
      <c r="A9" s="2" t="s">
        <v>14</v>
      </c>
      <c r="B9" s="3">
        <f>B7*0.1</f>
        <v>816.0060000000002</v>
      </c>
      <c r="C9" s="11"/>
      <c r="D9" s="23"/>
      <c r="E9" s="24"/>
      <c r="G9" s="6">
        <v>42871</v>
      </c>
      <c r="H9" s="7">
        <v>240</v>
      </c>
      <c r="I9" s="187" t="s">
        <v>46</v>
      </c>
      <c r="J9" s="188"/>
      <c r="K9" s="8" t="s">
        <v>456</v>
      </c>
      <c r="L9" s="8" t="s">
        <v>268</v>
      </c>
    </row>
    <row r="10" spans="1:12" ht="15.75" x14ac:dyDescent="0.25">
      <c r="A10" s="2"/>
      <c r="B10" s="3"/>
      <c r="C10" s="11"/>
      <c r="D10" s="12"/>
      <c r="E10" s="12"/>
      <c r="G10" s="6">
        <v>42872</v>
      </c>
      <c r="H10" s="7">
        <v>375</v>
      </c>
      <c r="I10" s="187" t="s">
        <v>518</v>
      </c>
      <c r="J10" s="188"/>
      <c r="K10" s="8" t="s">
        <v>484</v>
      </c>
      <c r="L10" s="8" t="s">
        <v>268</v>
      </c>
    </row>
    <row r="11" spans="1:12" ht="15.75" x14ac:dyDescent="0.25">
      <c r="A11" s="2" t="s">
        <v>59</v>
      </c>
      <c r="B11" s="3">
        <f>(B7-B9)/2</f>
        <v>3672.0270000000005</v>
      </c>
      <c r="C11" s="11"/>
      <c r="D11" s="2"/>
      <c r="E11" s="2"/>
      <c r="G11" s="6">
        <v>42873</v>
      </c>
      <c r="H11" s="7">
        <v>150</v>
      </c>
      <c r="I11" s="187"/>
      <c r="J11" s="188"/>
      <c r="K11" s="8"/>
      <c r="L11" s="8" t="s">
        <v>267</v>
      </c>
    </row>
    <row r="12" spans="1:12" ht="15.75" x14ac:dyDescent="0.25">
      <c r="A12" s="2"/>
      <c r="B12" s="3"/>
      <c r="C12" s="11"/>
      <c r="D12" s="5"/>
      <c r="E12" s="21"/>
      <c r="G12" s="6">
        <v>42873</v>
      </c>
      <c r="H12" s="7">
        <v>100</v>
      </c>
      <c r="I12" s="187" t="s">
        <v>327</v>
      </c>
      <c r="J12" s="188"/>
      <c r="K12" s="8" t="s">
        <v>326</v>
      </c>
      <c r="L12" s="8" t="s">
        <v>268</v>
      </c>
    </row>
    <row r="13" spans="1:12" ht="15.75" x14ac:dyDescent="0.25">
      <c r="A13" s="2"/>
      <c r="B13" s="3"/>
      <c r="C13" s="11"/>
      <c r="D13" s="5"/>
      <c r="E13" s="21"/>
      <c r="G13" s="6">
        <v>42812</v>
      </c>
      <c r="H13" s="7">
        <v>500</v>
      </c>
      <c r="I13" s="187"/>
      <c r="J13" s="188"/>
      <c r="K13" s="8"/>
      <c r="L13" s="8"/>
    </row>
    <row r="14" spans="1:12" ht="15.75" x14ac:dyDescent="0.25">
      <c r="A14" s="2"/>
      <c r="B14" s="3"/>
      <c r="C14" s="11"/>
      <c r="D14" s="5"/>
      <c r="E14" s="21"/>
      <c r="G14" s="6">
        <v>42813</v>
      </c>
      <c r="H14" s="7">
        <v>300</v>
      </c>
      <c r="I14" s="187" t="s">
        <v>518</v>
      </c>
      <c r="J14" s="188"/>
      <c r="K14" s="8" t="s">
        <v>531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42877</v>
      </c>
      <c r="H15" s="7">
        <v>500</v>
      </c>
      <c r="I15" s="212" t="s">
        <v>518</v>
      </c>
      <c r="J15" s="213"/>
      <c r="K15" s="8" t="s">
        <v>532</v>
      </c>
      <c r="L15" s="8" t="s">
        <v>268</v>
      </c>
    </row>
    <row r="16" spans="1:12" ht="15.75" x14ac:dyDescent="0.25">
      <c r="A16" s="2"/>
      <c r="B16" s="2"/>
      <c r="C16" s="1"/>
      <c r="D16" s="22"/>
      <c r="E16" s="21"/>
      <c r="G16" s="6">
        <v>42878</v>
      </c>
      <c r="H16" s="7">
        <v>1200</v>
      </c>
      <c r="I16" s="212" t="s">
        <v>341</v>
      </c>
      <c r="J16" s="213"/>
      <c r="K16" s="8" t="s">
        <v>318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883.75</v>
      </c>
      <c r="G17" s="6">
        <v>42878</v>
      </c>
      <c r="H17" s="7">
        <v>500</v>
      </c>
      <c r="I17" s="212" t="s">
        <v>162</v>
      </c>
      <c r="J17" s="213"/>
      <c r="K17" s="8" t="s">
        <v>442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42879</v>
      </c>
      <c r="H18" s="7">
        <v>500</v>
      </c>
      <c r="I18" s="187" t="s">
        <v>535</v>
      </c>
      <c r="J18" s="188"/>
      <c r="K18" s="8" t="s">
        <v>536</v>
      </c>
      <c r="L18" s="8" t="s">
        <v>268</v>
      </c>
    </row>
    <row r="19" spans="1:12" ht="15.75" x14ac:dyDescent="0.25">
      <c r="A19" s="2" t="s">
        <v>57</v>
      </c>
      <c r="B19" s="3">
        <f>B11-E17</f>
        <v>2788.2770000000005</v>
      </c>
      <c r="C19" s="1"/>
      <c r="D19" s="2" t="s">
        <v>1</v>
      </c>
      <c r="E19" s="2" t="s">
        <v>6</v>
      </c>
      <c r="G19" s="6">
        <v>42881</v>
      </c>
      <c r="H19" s="7">
        <v>500</v>
      </c>
      <c r="I19" s="212" t="s">
        <v>537</v>
      </c>
      <c r="J19" s="213"/>
      <c r="K19" s="8" t="s">
        <v>538</v>
      </c>
      <c r="L19" s="8" t="s">
        <v>267</v>
      </c>
    </row>
    <row r="20" spans="1:12" ht="15.75" x14ac:dyDescent="0.25">
      <c r="A20" s="2" t="s">
        <v>12</v>
      </c>
      <c r="B20" s="3">
        <f>B11-E25</f>
        <v>3672.0270000000005</v>
      </c>
      <c r="C20" s="1"/>
      <c r="D20" s="5"/>
      <c r="E20" s="21"/>
      <c r="G20" s="6">
        <v>42884</v>
      </c>
      <c r="H20" s="7">
        <v>300</v>
      </c>
      <c r="I20" s="212" t="s">
        <v>46</v>
      </c>
      <c r="J20" s="213"/>
      <c r="K20" s="8" t="s">
        <v>539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42884</v>
      </c>
      <c r="H21" s="7">
        <v>1156</v>
      </c>
      <c r="I21" s="187" t="s">
        <v>46</v>
      </c>
      <c r="J21" s="188"/>
      <c r="K21" s="8" t="s">
        <v>207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42886</v>
      </c>
      <c r="H22" s="7">
        <v>500</v>
      </c>
      <c r="I22" s="187" t="s">
        <v>499</v>
      </c>
      <c r="J22" s="188"/>
      <c r="K22" s="8" t="s">
        <v>2269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42891</v>
      </c>
      <c r="H23" s="7">
        <v>500</v>
      </c>
      <c r="I23" s="187" t="s">
        <v>505</v>
      </c>
      <c r="J23" s="188"/>
      <c r="K23" s="8" t="s">
        <v>2267</v>
      </c>
      <c r="L23" s="8" t="s">
        <v>267</v>
      </c>
    </row>
    <row r="24" spans="1:12" ht="15.75" x14ac:dyDescent="0.25">
      <c r="A24" s="196" t="s">
        <v>515</v>
      </c>
      <c r="B24" s="196"/>
      <c r="C24" s="1"/>
      <c r="D24" s="22"/>
      <c r="E24" s="21"/>
      <c r="F24" s="1"/>
      <c r="G24" s="6">
        <v>42891</v>
      </c>
      <c r="H24" s="7">
        <v>375</v>
      </c>
      <c r="I24" s="187" t="s">
        <v>518</v>
      </c>
      <c r="J24" s="188"/>
      <c r="K24" s="8" t="s">
        <v>547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42891</v>
      </c>
      <c r="H25" s="7">
        <v>1500</v>
      </c>
      <c r="I25" s="187" t="s">
        <v>541</v>
      </c>
      <c r="J25" s="188"/>
      <c r="K25" s="8" t="s">
        <v>542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42892</v>
      </c>
      <c r="H26" s="7">
        <v>450</v>
      </c>
      <c r="I26" s="187" t="s">
        <v>518</v>
      </c>
      <c r="J26" s="188"/>
      <c r="K26" s="8" t="s">
        <v>543</v>
      </c>
      <c r="L26" s="8" t="s">
        <v>268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42893</v>
      </c>
      <c r="H27" s="7">
        <v>1821</v>
      </c>
      <c r="I27" s="187" t="s">
        <v>46</v>
      </c>
      <c r="J27" s="188"/>
      <c r="K27" s="8" t="s">
        <v>434</v>
      </c>
      <c r="L27" s="8" t="s">
        <v>268</v>
      </c>
    </row>
    <row r="28" spans="1:12" ht="15.75" x14ac:dyDescent="0.25">
      <c r="A28" s="209"/>
      <c r="B28" s="209"/>
      <c r="C28" s="209"/>
      <c r="D28" s="209"/>
      <c r="E28" s="209"/>
      <c r="F28" s="209"/>
      <c r="G28" s="6">
        <v>42894</v>
      </c>
      <c r="H28" s="7">
        <v>500</v>
      </c>
      <c r="I28" s="187" t="s">
        <v>521</v>
      </c>
      <c r="J28" s="188"/>
      <c r="K28" s="8" t="s">
        <v>2226</v>
      </c>
      <c r="L28" s="8" t="s">
        <v>267</v>
      </c>
    </row>
    <row r="29" spans="1:12" ht="15.75" x14ac:dyDescent="0.25">
      <c r="A29" s="209"/>
      <c r="B29" s="209"/>
      <c r="C29" s="209"/>
      <c r="D29" s="209"/>
      <c r="E29" s="209"/>
      <c r="F29" s="209"/>
      <c r="G29" s="6">
        <v>42895</v>
      </c>
      <c r="H29" s="7">
        <v>100</v>
      </c>
      <c r="I29" s="187" t="s">
        <v>327</v>
      </c>
      <c r="J29" s="188"/>
      <c r="K29" s="8" t="s">
        <v>544</v>
      </c>
      <c r="L29" s="8" t="s">
        <v>267</v>
      </c>
    </row>
    <row r="30" spans="1:12" ht="15.75" x14ac:dyDescent="0.25">
      <c r="A30" s="209"/>
      <c r="B30" s="209"/>
      <c r="C30" s="209"/>
      <c r="D30" s="209"/>
      <c r="E30" s="209"/>
      <c r="F30" s="209"/>
      <c r="G30" s="6">
        <v>42895</v>
      </c>
      <c r="H30" s="7">
        <v>250</v>
      </c>
      <c r="I30" s="187" t="s">
        <v>537</v>
      </c>
      <c r="J30" s="188"/>
      <c r="K30" s="8" t="s">
        <v>545</v>
      </c>
      <c r="L30" s="8" t="s">
        <v>268</v>
      </c>
    </row>
    <row r="31" spans="1:12" ht="15.75" x14ac:dyDescent="0.25">
      <c r="A31" s="17"/>
      <c r="B31" s="29"/>
      <c r="C31" s="29"/>
      <c r="D31" s="29"/>
      <c r="E31" s="20"/>
      <c r="F31" s="1"/>
      <c r="G31" s="6">
        <v>42895</v>
      </c>
      <c r="H31" s="7">
        <v>450</v>
      </c>
      <c r="I31" s="187" t="s">
        <v>611</v>
      </c>
      <c r="J31" s="188"/>
      <c r="K31" s="8" t="s">
        <v>545</v>
      </c>
      <c r="L31" s="8" t="s">
        <v>268</v>
      </c>
    </row>
    <row r="32" spans="1:12" ht="15.75" x14ac:dyDescent="0.25">
      <c r="A32" s="178"/>
      <c r="B32" s="178"/>
      <c r="C32" s="178"/>
      <c r="D32" s="178"/>
      <c r="E32" s="178"/>
      <c r="F32" s="178"/>
      <c r="G32" s="6" t="s">
        <v>23</v>
      </c>
      <c r="H32" s="193">
        <f>SUM(H3:H31)</f>
        <v>18667</v>
      </c>
      <c r="I32" s="194"/>
      <c r="J32" s="194"/>
      <c r="K32" s="194"/>
      <c r="L32" s="195"/>
    </row>
    <row r="33" spans="1:12" ht="15.75" x14ac:dyDescent="0.25">
      <c r="A33" s="180"/>
      <c r="B33" s="180"/>
      <c r="C33" s="180"/>
      <c r="D33" s="180"/>
      <c r="E33" s="180"/>
      <c r="F33" s="180"/>
      <c r="G33" s="1"/>
      <c r="H33" s="1"/>
      <c r="I33" s="1"/>
      <c r="J33" s="1"/>
      <c r="K33" s="196" t="s">
        <v>515</v>
      </c>
      <c r="L33" s="196"/>
    </row>
    <row r="34" spans="1:12" x14ac:dyDescent="0.25">
      <c r="G34" s="180"/>
      <c r="H34" s="180"/>
      <c r="I34" s="180" t="s">
        <v>69</v>
      </c>
      <c r="J34" s="180"/>
      <c r="K34" s="180" t="s">
        <v>69</v>
      </c>
      <c r="L34" s="180"/>
    </row>
    <row r="35" spans="1:12" x14ac:dyDescent="0.25">
      <c r="G35" s="180"/>
      <c r="H35" s="180"/>
      <c r="I35" s="180" t="s">
        <v>65</v>
      </c>
      <c r="J35" s="180"/>
      <c r="K35" s="180" t="s">
        <v>67</v>
      </c>
      <c r="L35" s="180"/>
    </row>
    <row r="36" spans="1:12" x14ac:dyDescent="0.25">
      <c r="K36" s="180"/>
      <c r="L36" s="180"/>
    </row>
    <row r="37" spans="1:12" x14ac:dyDescent="0.25">
      <c r="K37" s="18"/>
      <c r="L37" s="18"/>
    </row>
    <row r="38" spans="1:12" x14ac:dyDescent="0.25">
      <c r="K38" s="18"/>
      <c r="L38" s="18"/>
    </row>
    <row r="39" spans="1:12" ht="18.75" x14ac:dyDescent="0.3">
      <c r="G39" s="184" t="s">
        <v>25</v>
      </c>
      <c r="H39" s="184"/>
      <c r="I39" s="184"/>
      <c r="J39" s="184"/>
      <c r="K39" s="180"/>
      <c r="L39" s="180"/>
    </row>
    <row r="40" spans="1:12" ht="15.75" x14ac:dyDescent="0.25">
      <c r="G40" s="2" t="s">
        <v>1</v>
      </c>
      <c r="H40" s="2" t="s">
        <v>6</v>
      </c>
      <c r="I40" s="182" t="s">
        <v>13</v>
      </c>
      <c r="J40" s="183"/>
      <c r="K40" s="180"/>
      <c r="L40" s="180"/>
    </row>
    <row r="41" spans="1:12" ht="15.75" x14ac:dyDescent="0.25">
      <c r="G41" s="6"/>
      <c r="H41" s="7">
        <v>1500</v>
      </c>
      <c r="I41" s="182" t="s">
        <v>173</v>
      </c>
      <c r="J41" s="183"/>
      <c r="K41" s="18"/>
      <c r="L41" s="18"/>
    </row>
    <row r="42" spans="1:12" ht="15.75" x14ac:dyDescent="0.25">
      <c r="G42" s="6"/>
      <c r="H42" s="7">
        <v>18</v>
      </c>
      <c r="I42" s="182" t="s">
        <v>523</v>
      </c>
      <c r="J42" s="183"/>
      <c r="K42" s="18"/>
      <c r="L42" s="18"/>
    </row>
    <row r="43" spans="1:12" ht="15.75" x14ac:dyDescent="0.25">
      <c r="G43" s="6"/>
      <c r="H43" s="7">
        <v>14</v>
      </c>
      <c r="I43" s="182" t="s">
        <v>523</v>
      </c>
      <c r="J43" s="183"/>
      <c r="K43" s="180"/>
      <c r="L43" s="180"/>
    </row>
    <row r="44" spans="1:12" ht="15.75" x14ac:dyDescent="0.25">
      <c r="G44" s="6"/>
      <c r="H44" s="4">
        <v>10</v>
      </c>
      <c r="I44" s="182" t="s">
        <v>523</v>
      </c>
      <c r="J44" s="183"/>
      <c r="K44" s="180"/>
      <c r="L44" s="180"/>
    </row>
    <row r="45" spans="1:12" ht="15.75" x14ac:dyDescent="0.25">
      <c r="G45" s="6"/>
      <c r="H45" s="4">
        <v>35.799999999999997</v>
      </c>
      <c r="I45" s="182" t="s">
        <v>529</v>
      </c>
      <c r="J45" s="183"/>
    </row>
    <row r="46" spans="1:12" ht="15.75" x14ac:dyDescent="0.25">
      <c r="G46" s="6"/>
      <c r="H46" s="4">
        <v>7500</v>
      </c>
      <c r="I46" s="182" t="s">
        <v>530</v>
      </c>
      <c r="J46" s="183"/>
    </row>
    <row r="47" spans="1:12" ht="15.75" x14ac:dyDescent="0.25">
      <c r="G47" s="6"/>
      <c r="H47" s="4">
        <v>100</v>
      </c>
      <c r="I47" s="182" t="s">
        <v>533</v>
      </c>
      <c r="J47" s="183"/>
    </row>
    <row r="48" spans="1:12" ht="15.75" x14ac:dyDescent="0.25">
      <c r="G48" s="6"/>
      <c r="H48" s="4">
        <v>100</v>
      </c>
      <c r="I48" s="182" t="s">
        <v>534</v>
      </c>
      <c r="J48" s="183"/>
    </row>
    <row r="49" spans="7:12" ht="15.75" x14ac:dyDescent="0.25">
      <c r="G49" s="6"/>
      <c r="H49" s="4">
        <v>106.23</v>
      </c>
      <c r="I49" s="182" t="s">
        <v>158</v>
      </c>
      <c r="J49" s="183"/>
    </row>
    <row r="50" spans="7:12" ht="15.75" x14ac:dyDescent="0.25">
      <c r="G50" s="6"/>
      <c r="H50" s="4">
        <v>146.01</v>
      </c>
      <c r="I50" s="182" t="s">
        <v>262</v>
      </c>
      <c r="J50" s="183"/>
    </row>
    <row r="51" spans="7:12" ht="15.75" x14ac:dyDescent="0.25">
      <c r="G51" s="6"/>
      <c r="H51" s="35">
        <v>39.9</v>
      </c>
      <c r="I51" s="182" t="s">
        <v>422</v>
      </c>
      <c r="J51" s="183"/>
      <c r="K51" s="204" t="s">
        <v>514</v>
      </c>
      <c r="L51" s="205"/>
    </row>
    <row r="52" spans="7:12" ht="15.75" x14ac:dyDescent="0.25">
      <c r="G52" s="6"/>
      <c r="H52" s="35">
        <v>937</v>
      </c>
      <c r="I52" s="182" t="s">
        <v>612</v>
      </c>
      <c r="J52" s="183"/>
    </row>
    <row r="53" spans="7:12" ht="15.75" x14ac:dyDescent="0.25">
      <c r="G53" s="6"/>
      <c r="H53" s="35"/>
      <c r="I53" s="182"/>
      <c r="J53" s="183"/>
    </row>
    <row r="55" spans="7:12" x14ac:dyDescent="0.25">
      <c r="G55" s="180"/>
      <c r="H55" s="180"/>
      <c r="I55" s="180" t="s">
        <v>64</v>
      </c>
      <c r="J55" s="180"/>
      <c r="K55" s="180" t="s">
        <v>64</v>
      </c>
      <c r="L55" s="180"/>
    </row>
    <row r="56" spans="7:12" x14ac:dyDescent="0.25">
      <c r="G56" s="180"/>
      <c r="H56" s="180"/>
      <c r="I56" s="180" t="s">
        <v>65</v>
      </c>
      <c r="J56" s="180"/>
      <c r="K56" s="180" t="s">
        <v>67</v>
      </c>
      <c r="L56" s="180"/>
    </row>
  </sheetData>
  <mergeCells count="81">
    <mergeCell ref="I3:J3"/>
    <mergeCell ref="I4:J4"/>
    <mergeCell ref="I5:J5"/>
    <mergeCell ref="I6:J6"/>
    <mergeCell ref="A1:B1"/>
    <mergeCell ref="D1:E1"/>
    <mergeCell ref="G1:L1"/>
    <mergeCell ref="A2:B2"/>
    <mergeCell ref="D2:E2"/>
    <mergeCell ref="I2:J2"/>
    <mergeCell ref="A17:B17"/>
    <mergeCell ref="I16:J16"/>
    <mergeCell ref="I7:J7"/>
    <mergeCell ref="I8:J8"/>
    <mergeCell ref="I9:J9"/>
    <mergeCell ref="I10:J10"/>
    <mergeCell ref="I11:J11"/>
    <mergeCell ref="I13:J13"/>
    <mergeCell ref="I14:J14"/>
    <mergeCell ref="I12:J12"/>
    <mergeCell ref="I21:J21"/>
    <mergeCell ref="I15:J15"/>
    <mergeCell ref="D18:E18"/>
    <mergeCell ref="I17:J17"/>
    <mergeCell ref="I18:J18"/>
    <mergeCell ref="I19:J19"/>
    <mergeCell ref="I20:J20"/>
    <mergeCell ref="A24:B24"/>
    <mergeCell ref="H32:L32"/>
    <mergeCell ref="K33:L33"/>
    <mergeCell ref="G34:H34"/>
    <mergeCell ref="I34:J34"/>
    <mergeCell ref="K34:L34"/>
    <mergeCell ref="D27:E27"/>
    <mergeCell ref="A28:F30"/>
    <mergeCell ref="I31:J31"/>
    <mergeCell ref="A32:B32"/>
    <mergeCell ref="C32:D32"/>
    <mergeCell ref="E32:F32"/>
    <mergeCell ref="I24:J24"/>
    <mergeCell ref="A33:B33"/>
    <mergeCell ref="C33:D33"/>
    <mergeCell ref="E33:F33"/>
    <mergeCell ref="K36:L36"/>
    <mergeCell ref="I41:J41"/>
    <mergeCell ref="I42:J42"/>
    <mergeCell ref="G39:J39"/>
    <mergeCell ref="G35:H35"/>
    <mergeCell ref="I35:J35"/>
    <mergeCell ref="K35:L35"/>
    <mergeCell ref="K55:L55"/>
    <mergeCell ref="G56:H56"/>
    <mergeCell ref="I56:J56"/>
    <mergeCell ref="K56:L56"/>
    <mergeCell ref="I52:J52"/>
    <mergeCell ref="K51:L51"/>
    <mergeCell ref="K39:L39"/>
    <mergeCell ref="K43:L43"/>
    <mergeCell ref="I44:J44"/>
    <mergeCell ref="K44:L44"/>
    <mergeCell ref="I45:J45"/>
    <mergeCell ref="I46:J46"/>
    <mergeCell ref="I40:J40"/>
    <mergeCell ref="K40:L40"/>
    <mergeCell ref="I43:J43"/>
    <mergeCell ref="I22:J22"/>
    <mergeCell ref="I23:J23"/>
    <mergeCell ref="I25:J25"/>
    <mergeCell ref="I53:J53"/>
    <mergeCell ref="G55:H55"/>
    <mergeCell ref="I55:J55"/>
    <mergeCell ref="I47:J47"/>
    <mergeCell ref="I48:J48"/>
    <mergeCell ref="I49:J49"/>
    <mergeCell ref="I50:J50"/>
    <mergeCell ref="I51:J51"/>
    <mergeCell ref="I26:J26"/>
    <mergeCell ref="I27:J27"/>
    <mergeCell ref="I28:J28"/>
    <mergeCell ref="I29:J29"/>
    <mergeCell ref="I30:J30"/>
  </mergeCells>
  <pageMargins left="0.511811024" right="0.511811024" top="0.78740157499999996" bottom="0.78740157499999996" header="0.31496062000000002" footer="0.31496062000000002"/>
  <pageSetup paperSize="9" orientation="landscape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L59"/>
  <sheetViews>
    <sheetView topLeftCell="E9" workbookViewId="0">
      <selection activeCell="G27" sqref="G27:K27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553</v>
      </c>
      <c r="B1" s="184"/>
      <c r="C1" s="10"/>
      <c r="D1" s="199" t="s">
        <v>55</v>
      </c>
      <c r="E1" s="200"/>
      <c r="G1" s="184" t="s">
        <v>554</v>
      </c>
      <c r="H1" s="184"/>
      <c r="I1" s="184"/>
      <c r="J1" s="184"/>
      <c r="K1" s="184"/>
      <c r="L1" s="184"/>
    </row>
    <row r="2" spans="1:12" ht="18.75" x14ac:dyDescent="0.3">
      <c r="A2" s="184" t="s">
        <v>590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H35</f>
        <v>37045.919999999998</v>
      </c>
      <c r="C3" s="11"/>
      <c r="D3" s="5"/>
      <c r="E3" s="4">
        <v>117</v>
      </c>
      <c r="F3" t="s">
        <v>585</v>
      </c>
      <c r="G3" s="6">
        <v>42898</v>
      </c>
      <c r="H3" s="7">
        <v>500</v>
      </c>
      <c r="I3" s="187" t="s">
        <v>162</v>
      </c>
      <c r="J3" s="188"/>
      <c r="K3" s="8" t="s">
        <v>2263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>
        <v>296.39999999999998</v>
      </c>
      <c r="F4" t="s">
        <v>197</v>
      </c>
      <c r="G4" s="6">
        <v>42898</v>
      </c>
      <c r="H4" s="7">
        <v>244.02</v>
      </c>
      <c r="I4" s="187" t="s">
        <v>422</v>
      </c>
      <c r="J4" s="188"/>
      <c r="K4" s="8"/>
      <c r="L4" s="8"/>
    </row>
    <row r="5" spans="1:12" ht="15.75" x14ac:dyDescent="0.25">
      <c r="A5" s="2" t="s">
        <v>4</v>
      </c>
      <c r="B5" s="3">
        <f>SUM(H44:H56)</f>
        <v>3576.9900000000002</v>
      </c>
      <c r="C5" s="11"/>
      <c r="D5" s="5"/>
      <c r="E5" s="4">
        <v>85.13</v>
      </c>
      <c r="F5" t="s">
        <v>197</v>
      </c>
      <c r="G5" s="6">
        <v>42898</v>
      </c>
      <c r="H5" s="7">
        <v>800</v>
      </c>
      <c r="I5" s="187" t="s">
        <v>548</v>
      </c>
      <c r="J5" s="188"/>
      <c r="K5" s="8" t="s">
        <v>549</v>
      </c>
      <c r="L5" s="8" t="s">
        <v>267</v>
      </c>
    </row>
    <row r="6" spans="1:12" ht="15.75" x14ac:dyDescent="0.25">
      <c r="A6" s="2"/>
      <c r="B6" s="3"/>
      <c r="C6" s="11"/>
      <c r="D6" s="22"/>
      <c r="E6" s="4">
        <v>191.54</v>
      </c>
      <c r="F6" t="s">
        <v>197</v>
      </c>
      <c r="G6" s="6">
        <v>42898</v>
      </c>
      <c r="H6" s="7">
        <v>375</v>
      </c>
      <c r="I6" s="187" t="s">
        <v>550</v>
      </c>
      <c r="J6" s="188"/>
      <c r="K6" s="8" t="s">
        <v>442</v>
      </c>
      <c r="L6" s="8" t="s">
        <v>267</v>
      </c>
    </row>
    <row r="7" spans="1:12" ht="15.75" x14ac:dyDescent="0.25">
      <c r="A7" s="12" t="s">
        <v>5</v>
      </c>
      <c r="B7" s="25">
        <f>B3+B4-B5</f>
        <v>33468.93</v>
      </c>
      <c r="C7" s="11"/>
      <c r="D7" s="22"/>
      <c r="E7" s="4">
        <v>127.69</v>
      </c>
      <c r="F7" t="s">
        <v>197</v>
      </c>
      <c r="G7" s="6">
        <v>42899</v>
      </c>
      <c r="H7" s="7">
        <v>600</v>
      </c>
      <c r="I7" s="187" t="s">
        <v>551</v>
      </c>
      <c r="J7" s="188"/>
      <c r="K7" s="8" t="s">
        <v>538</v>
      </c>
      <c r="L7" s="8" t="s">
        <v>267</v>
      </c>
    </row>
    <row r="8" spans="1:12" ht="15.75" x14ac:dyDescent="0.25">
      <c r="A8" s="2"/>
      <c r="B8" s="3"/>
      <c r="C8" s="11"/>
      <c r="D8" s="22"/>
      <c r="E8" s="4">
        <v>85.13</v>
      </c>
      <c r="F8" t="s">
        <v>197</v>
      </c>
      <c r="G8" s="6">
        <v>42900</v>
      </c>
      <c r="H8" s="7">
        <v>300</v>
      </c>
      <c r="I8" s="212"/>
      <c r="J8" s="213"/>
      <c r="K8" s="8"/>
      <c r="L8" s="8"/>
    </row>
    <row r="9" spans="1:12" ht="15.75" x14ac:dyDescent="0.25">
      <c r="A9" s="2" t="s">
        <v>14</v>
      </c>
      <c r="B9" s="3">
        <f>B7*0.1</f>
        <v>3346.893</v>
      </c>
      <c r="C9" s="11"/>
      <c r="D9" s="23"/>
      <c r="E9" s="4">
        <v>127.69</v>
      </c>
      <c r="F9" t="s">
        <v>197</v>
      </c>
      <c r="G9" s="6">
        <v>42900</v>
      </c>
      <c r="H9" s="7">
        <v>975</v>
      </c>
      <c r="I9" s="187" t="s">
        <v>46</v>
      </c>
      <c r="J9" s="188"/>
      <c r="K9" s="8" t="s">
        <v>557</v>
      </c>
      <c r="L9" s="8" t="s">
        <v>268</v>
      </c>
    </row>
    <row r="10" spans="1:12" ht="15.75" x14ac:dyDescent="0.25">
      <c r="A10" s="2"/>
      <c r="B10" s="3"/>
      <c r="C10" s="11"/>
      <c r="D10" s="12"/>
      <c r="E10" s="43">
        <v>106.24</v>
      </c>
      <c r="F10" t="s">
        <v>581</v>
      </c>
      <c r="G10" s="6">
        <v>42900</v>
      </c>
      <c r="H10" s="7">
        <v>9000</v>
      </c>
      <c r="I10" s="187" t="s">
        <v>558</v>
      </c>
      <c r="J10" s="188"/>
      <c r="K10" s="8" t="s">
        <v>2225</v>
      </c>
      <c r="L10" s="8" t="s">
        <v>267</v>
      </c>
    </row>
    <row r="11" spans="1:12" ht="15.75" x14ac:dyDescent="0.25">
      <c r="A11" s="2" t="s">
        <v>59</v>
      </c>
      <c r="B11" s="3">
        <f>(B7-B9)/2</f>
        <v>15061.0185</v>
      </c>
      <c r="C11" s="11"/>
      <c r="D11" s="2"/>
      <c r="E11" s="4">
        <v>197.88</v>
      </c>
      <c r="F11" s="42" t="s">
        <v>582</v>
      </c>
      <c r="G11" s="6">
        <v>42905</v>
      </c>
      <c r="H11" s="7">
        <v>240</v>
      </c>
      <c r="I11" s="187" t="s">
        <v>46</v>
      </c>
      <c r="J11" s="188"/>
      <c r="K11" s="8" t="s">
        <v>456</v>
      </c>
      <c r="L11" s="8" t="s">
        <v>268</v>
      </c>
    </row>
    <row r="12" spans="1:12" ht="15.75" x14ac:dyDescent="0.25">
      <c r="A12" s="2"/>
      <c r="B12" s="3"/>
      <c r="C12" s="11"/>
      <c r="D12" s="5"/>
      <c r="E12" s="4">
        <v>31.66</v>
      </c>
      <c r="F12" t="s">
        <v>583</v>
      </c>
      <c r="G12" s="6">
        <v>42905</v>
      </c>
      <c r="H12" s="7">
        <v>200</v>
      </c>
      <c r="I12" s="187" t="s">
        <v>560</v>
      </c>
      <c r="J12" s="188"/>
      <c r="K12" s="8" t="s">
        <v>561</v>
      </c>
      <c r="L12" s="8" t="s">
        <v>267</v>
      </c>
    </row>
    <row r="13" spans="1:12" ht="15.75" x14ac:dyDescent="0.25">
      <c r="A13" s="2"/>
      <c r="B13" s="3"/>
      <c r="C13" s="11"/>
      <c r="D13" s="5"/>
      <c r="E13" s="4">
        <v>49.99</v>
      </c>
      <c r="F13" t="s">
        <v>584</v>
      </c>
      <c r="G13" s="6">
        <v>42905</v>
      </c>
      <c r="H13" s="7">
        <v>300</v>
      </c>
      <c r="I13" s="187" t="s">
        <v>562</v>
      </c>
      <c r="J13" s="188"/>
      <c r="K13" s="8" t="s">
        <v>2241</v>
      </c>
      <c r="L13" s="8" t="s">
        <v>267</v>
      </c>
    </row>
    <row r="14" spans="1:12" ht="15.75" x14ac:dyDescent="0.25">
      <c r="A14" s="2"/>
      <c r="B14" s="3"/>
      <c r="C14" s="11"/>
      <c r="D14" s="5"/>
      <c r="E14" s="4">
        <v>99.99</v>
      </c>
      <c r="F14" t="s">
        <v>586</v>
      </c>
      <c r="G14" s="6">
        <v>42905</v>
      </c>
      <c r="H14" s="7">
        <v>2500</v>
      </c>
      <c r="I14" s="187" t="s">
        <v>132</v>
      </c>
      <c r="J14" s="188"/>
      <c r="K14" s="8" t="s">
        <v>487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42908</v>
      </c>
      <c r="H15" s="7">
        <v>1731.78</v>
      </c>
      <c r="I15" s="187" t="s">
        <v>577</v>
      </c>
      <c r="J15" s="188"/>
      <c r="K15" s="8" t="s">
        <v>576</v>
      </c>
      <c r="L15" s="8" t="s">
        <v>267</v>
      </c>
    </row>
    <row r="16" spans="1:12" ht="15.75" x14ac:dyDescent="0.25">
      <c r="A16" s="2"/>
      <c r="B16" s="2"/>
      <c r="C16" s="1"/>
      <c r="D16" s="22"/>
      <c r="E16" s="4"/>
      <c r="G16" s="6">
        <v>42908</v>
      </c>
      <c r="H16" s="7">
        <v>500</v>
      </c>
      <c r="I16" s="187"/>
      <c r="J16" s="188"/>
      <c r="K16" s="8" t="s">
        <v>240</v>
      </c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1516.34</v>
      </c>
      <c r="G17" s="6">
        <v>42909</v>
      </c>
      <c r="H17" s="7">
        <v>600</v>
      </c>
      <c r="I17" s="187"/>
      <c r="J17" s="188"/>
      <c r="K17" s="8" t="s">
        <v>156</v>
      </c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>
        <v>42909</v>
      </c>
      <c r="H18" s="7">
        <v>500</v>
      </c>
      <c r="I18" s="187" t="s">
        <v>564</v>
      </c>
      <c r="J18" s="188"/>
      <c r="K18" s="8" t="s">
        <v>299</v>
      </c>
      <c r="L18" s="8" t="s">
        <v>268</v>
      </c>
    </row>
    <row r="19" spans="1:12" ht="15.75" x14ac:dyDescent="0.25">
      <c r="A19" s="2" t="s">
        <v>57</v>
      </c>
      <c r="B19" s="3">
        <f>B11-E17</f>
        <v>13544.6785</v>
      </c>
      <c r="C19" s="1"/>
      <c r="D19" s="2" t="s">
        <v>1</v>
      </c>
      <c r="E19" s="2" t="s">
        <v>6</v>
      </c>
      <c r="G19" s="6">
        <v>42909</v>
      </c>
      <c r="H19" s="7">
        <v>833</v>
      </c>
      <c r="I19" s="187" t="s">
        <v>46</v>
      </c>
      <c r="J19" s="188"/>
      <c r="K19" s="8" t="s">
        <v>566</v>
      </c>
      <c r="L19" s="8" t="s">
        <v>268</v>
      </c>
    </row>
    <row r="20" spans="1:12" ht="15.75" x14ac:dyDescent="0.25">
      <c r="A20" s="2" t="s">
        <v>12</v>
      </c>
      <c r="B20" s="3">
        <f>B11-E25</f>
        <v>15061.0185</v>
      </c>
      <c r="C20" s="1"/>
      <c r="D20" s="5"/>
      <c r="E20" s="21"/>
      <c r="G20" s="6">
        <v>42909</v>
      </c>
      <c r="H20" s="7">
        <v>200</v>
      </c>
      <c r="I20" s="40" t="s">
        <v>565</v>
      </c>
      <c r="J20" s="41"/>
      <c r="K20" s="8" t="s">
        <v>567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42909</v>
      </c>
      <c r="H21" s="7">
        <v>700</v>
      </c>
      <c r="I21" s="187" t="s">
        <v>551</v>
      </c>
      <c r="J21" s="188"/>
      <c r="K21" s="8" t="s">
        <v>538</v>
      </c>
      <c r="L21" s="8" t="s">
        <v>267</v>
      </c>
    </row>
    <row r="22" spans="1:12" ht="15.75" x14ac:dyDescent="0.25">
      <c r="A22" s="2"/>
      <c r="B22" s="2"/>
      <c r="C22" s="1"/>
      <c r="D22" s="22"/>
      <c r="E22" s="21"/>
      <c r="G22" s="6">
        <v>42912</v>
      </c>
      <c r="H22" s="7">
        <v>100</v>
      </c>
      <c r="I22" s="212" t="s">
        <v>568</v>
      </c>
      <c r="J22" s="213"/>
      <c r="K22" s="8"/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42913</v>
      </c>
      <c r="H23" s="7">
        <v>400</v>
      </c>
      <c r="I23" s="212" t="s">
        <v>569</v>
      </c>
      <c r="J23" s="213"/>
      <c r="K23" s="8" t="s">
        <v>570</v>
      </c>
      <c r="L23" s="8" t="s">
        <v>267</v>
      </c>
    </row>
    <row r="24" spans="1:12" ht="15.75" x14ac:dyDescent="0.25">
      <c r="A24" s="196" t="s">
        <v>555</v>
      </c>
      <c r="B24" s="196"/>
      <c r="C24" s="1"/>
      <c r="D24" s="22"/>
      <c r="E24" s="21"/>
      <c r="F24" s="1"/>
      <c r="G24" s="6">
        <v>42915</v>
      </c>
      <c r="H24" s="7">
        <v>50</v>
      </c>
      <c r="I24" s="187" t="s">
        <v>571</v>
      </c>
      <c r="J24" s="188"/>
      <c r="K24" s="8"/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42916</v>
      </c>
      <c r="H25" s="7">
        <v>1780.88</v>
      </c>
      <c r="I25" s="187" t="s">
        <v>575</v>
      </c>
      <c r="J25" s="188"/>
      <c r="K25" s="8" t="s">
        <v>2258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42916</v>
      </c>
      <c r="H26" s="7">
        <v>8995.24</v>
      </c>
      <c r="I26" s="187" t="s">
        <v>46</v>
      </c>
      <c r="J26" s="188"/>
      <c r="K26" s="8" t="s">
        <v>572</v>
      </c>
      <c r="L26" s="8" t="s">
        <v>268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42919</v>
      </c>
      <c r="H27" s="7">
        <v>600</v>
      </c>
      <c r="I27" s="187" t="s">
        <v>579</v>
      </c>
      <c r="J27" s="188"/>
      <c r="K27" s="8" t="s">
        <v>2214</v>
      </c>
      <c r="L27" s="8" t="s">
        <v>268</v>
      </c>
    </row>
    <row r="28" spans="1:12" ht="15.75" x14ac:dyDescent="0.25">
      <c r="A28" s="209"/>
      <c r="B28" s="209"/>
      <c r="C28" s="209"/>
      <c r="D28" s="209"/>
      <c r="E28" s="209"/>
      <c r="F28" s="209"/>
      <c r="G28" s="6">
        <v>42920</v>
      </c>
      <c r="H28" s="7">
        <v>1000</v>
      </c>
      <c r="I28" s="187" t="s">
        <v>573</v>
      </c>
      <c r="J28" s="188"/>
      <c r="K28" s="8" t="s">
        <v>574</v>
      </c>
      <c r="L28" s="8" t="s">
        <v>267</v>
      </c>
    </row>
    <row r="29" spans="1:12" ht="15.75" x14ac:dyDescent="0.25">
      <c r="A29" s="209"/>
      <c r="B29" s="209"/>
      <c r="C29" s="209"/>
      <c r="D29" s="209"/>
      <c r="E29" s="209"/>
      <c r="F29" s="209"/>
      <c r="G29" s="6">
        <v>42921</v>
      </c>
      <c r="H29" s="7">
        <v>500</v>
      </c>
      <c r="I29" s="187" t="s">
        <v>505</v>
      </c>
      <c r="J29" s="188"/>
      <c r="K29" s="8" t="s">
        <v>2267</v>
      </c>
      <c r="L29" s="8" t="s">
        <v>267</v>
      </c>
    </row>
    <row r="30" spans="1:12" ht="15.75" x14ac:dyDescent="0.25">
      <c r="A30" s="209"/>
      <c r="B30" s="209"/>
      <c r="C30" s="209"/>
      <c r="D30" s="209"/>
      <c r="E30" s="209"/>
      <c r="F30" s="209"/>
      <c r="G30" s="6">
        <v>42923</v>
      </c>
      <c r="H30" s="7">
        <v>500</v>
      </c>
      <c r="I30" s="36" t="s">
        <v>578</v>
      </c>
      <c r="J30" s="37"/>
      <c r="K30" s="8" t="s">
        <v>2226</v>
      </c>
      <c r="L30" s="8" t="s">
        <v>267</v>
      </c>
    </row>
    <row r="31" spans="1:12" ht="15.75" x14ac:dyDescent="0.25">
      <c r="A31" s="17"/>
      <c r="B31" s="29"/>
      <c r="C31" s="29"/>
      <c r="D31" s="29"/>
      <c r="E31" s="20"/>
      <c r="F31" s="1"/>
      <c r="G31" s="6">
        <v>42926</v>
      </c>
      <c r="H31" s="7">
        <v>200</v>
      </c>
      <c r="I31" s="187"/>
      <c r="J31" s="188"/>
      <c r="K31" s="8" t="s">
        <v>240</v>
      </c>
      <c r="L31" s="8"/>
    </row>
    <row r="32" spans="1:12" ht="15.75" x14ac:dyDescent="0.25">
      <c r="A32" s="178"/>
      <c r="B32" s="178"/>
      <c r="C32" s="178"/>
      <c r="D32" s="178"/>
      <c r="E32" s="178"/>
      <c r="F32" s="178"/>
      <c r="G32" s="6">
        <v>42926</v>
      </c>
      <c r="H32" s="7">
        <v>1821</v>
      </c>
      <c r="I32" s="187" t="s">
        <v>46</v>
      </c>
      <c r="J32" s="188"/>
      <c r="K32" s="8" t="s">
        <v>580</v>
      </c>
      <c r="L32" s="8" t="s">
        <v>268</v>
      </c>
    </row>
    <row r="33" spans="1:12" ht="15.75" x14ac:dyDescent="0.25">
      <c r="A33" s="180"/>
      <c r="B33" s="180"/>
      <c r="C33" s="180"/>
      <c r="D33" s="180"/>
      <c r="E33" s="180"/>
      <c r="F33" s="180"/>
      <c r="G33" s="6"/>
      <c r="H33" s="7"/>
      <c r="I33" s="187"/>
      <c r="J33" s="188"/>
      <c r="K33" s="8"/>
      <c r="L33" s="8"/>
    </row>
    <row r="34" spans="1:12" ht="15.75" x14ac:dyDescent="0.25">
      <c r="G34" s="6"/>
      <c r="H34" s="7"/>
      <c r="I34" s="187"/>
      <c r="J34" s="188"/>
      <c r="K34" s="8"/>
      <c r="L34" s="8"/>
    </row>
    <row r="35" spans="1:12" ht="15.75" x14ac:dyDescent="0.25">
      <c r="G35" s="6" t="s">
        <v>23</v>
      </c>
      <c r="H35" s="193">
        <f>SUM(H3:H34)</f>
        <v>37045.919999999998</v>
      </c>
      <c r="I35" s="194"/>
      <c r="J35" s="194"/>
      <c r="K35" s="194"/>
      <c r="L35" s="195"/>
    </row>
    <row r="36" spans="1:12" ht="15.75" x14ac:dyDescent="0.25">
      <c r="G36" s="1"/>
      <c r="H36" s="1"/>
      <c r="I36" s="1"/>
      <c r="J36" s="1"/>
      <c r="K36" s="196" t="s">
        <v>555</v>
      </c>
      <c r="L36" s="196"/>
    </row>
    <row r="37" spans="1:12" x14ac:dyDescent="0.25">
      <c r="G37" s="180"/>
      <c r="H37" s="180"/>
      <c r="I37" s="180" t="s">
        <v>69</v>
      </c>
      <c r="J37" s="180"/>
      <c r="K37" s="180" t="s">
        <v>69</v>
      </c>
      <c r="L37" s="180"/>
    </row>
    <row r="38" spans="1:12" x14ac:dyDescent="0.25">
      <c r="G38" s="180"/>
      <c r="H38" s="180"/>
      <c r="I38" s="180" t="s">
        <v>65</v>
      </c>
      <c r="J38" s="180"/>
      <c r="K38" s="180" t="s">
        <v>67</v>
      </c>
      <c r="L38" s="180"/>
    </row>
    <row r="39" spans="1:12" x14ac:dyDescent="0.25">
      <c r="K39" s="180"/>
      <c r="L39" s="180"/>
    </row>
    <row r="40" spans="1:12" x14ac:dyDescent="0.25">
      <c r="K40" s="18"/>
      <c r="L40" s="18"/>
    </row>
    <row r="41" spans="1:12" x14ac:dyDescent="0.25">
      <c r="K41" s="18"/>
      <c r="L41" s="18"/>
    </row>
    <row r="42" spans="1:12" ht="18.75" x14ac:dyDescent="0.3">
      <c r="G42" s="184" t="s">
        <v>25</v>
      </c>
      <c r="H42" s="184"/>
      <c r="I42" s="184"/>
      <c r="J42" s="184"/>
      <c r="K42" s="180"/>
      <c r="L42" s="180"/>
    </row>
    <row r="43" spans="1:12" ht="15.75" x14ac:dyDescent="0.25">
      <c r="G43" s="2" t="s">
        <v>1</v>
      </c>
      <c r="H43" s="2" t="s">
        <v>6</v>
      </c>
      <c r="I43" s="182" t="s">
        <v>13</v>
      </c>
      <c r="J43" s="183"/>
      <c r="K43" s="180"/>
      <c r="L43" s="180"/>
    </row>
    <row r="44" spans="1:12" ht="15.75" x14ac:dyDescent="0.25">
      <c r="G44" s="6">
        <v>42905</v>
      </c>
      <c r="H44" s="7">
        <v>1088.76</v>
      </c>
      <c r="I44" s="182" t="s">
        <v>559</v>
      </c>
      <c r="J44" s="183"/>
      <c r="K44" s="18"/>
      <c r="L44" s="18"/>
    </row>
    <row r="45" spans="1:12" ht="15.75" x14ac:dyDescent="0.25">
      <c r="G45" s="6"/>
      <c r="H45" s="7">
        <v>600</v>
      </c>
      <c r="I45" s="182" t="s">
        <v>563</v>
      </c>
      <c r="J45" s="183"/>
      <c r="K45" s="18"/>
      <c r="L45" s="18"/>
    </row>
    <row r="46" spans="1:12" ht="15.75" x14ac:dyDescent="0.25">
      <c r="G46" s="6"/>
      <c r="H46" s="7">
        <v>1500</v>
      </c>
      <c r="I46" s="182" t="s">
        <v>173</v>
      </c>
      <c r="J46" s="183"/>
      <c r="K46" s="180"/>
      <c r="L46" s="180"/>
    </row>
    <row r="47" spans="1:12" ht="15.75" x14ac:dyDescent="0.25">
      <c r="G47" s="6"/>
      <c r="H47" s="4">
        <v>103.62</v>
      </c>
      <c r="I47" s="182" t="s">
        <v>599</v>
      </c>
      <c r="J47" s="183"/>
      <c r="K47" s="180"/>
      <c r="L47" s="180"/>
    </row>
    <row r="48" spans="1:12" ht="15.75" x14ac:dyDescent="0.25">
      <c r="G48" s="6"/>
      <c r="H48" s="4">
        <v>144.71</v>
      </c>
      <c r="I48" s="182" t="s">
        <v>500</v>
      </c>
      <c r="J48" s="183"/>
    </row>
    <row r="49" spans="7:12" ht="15.75" x14ac:dyDescent="0.25">
      <c r="G49" s="6"/>
      <c r="H49" s="4">
        <v>100</v>
      </c>
      <c r="I49" s="182" t="s">
        <v>615</v>
      </c>
      <c r="J49" s="183"/>
    </row>
    <row r="50" spans="7:12" ht="15.75" x14ac:dyDescent="0.25">
      <c r="G50" s="6"/>
      <c r="H50" s="4">
        <v>39.9</v>
      </c>
      <c r="I50" s="182" t="s">
        <v>422</v>
      </c>
      <c r="J50" s="183"/>
    </row>
    <row r="51" spans="7:12" ht="15.75" x14ac:dyDescent="0.25">
      <c r="G51" s="6"/>
      <c r="H51" s="4"/>
      <c r="I51" s="182"/>
      <c r="J51" s="183"/>
    </row>
    <row r="52" spans="7:12" ht="15.75" x14ac:dyDescent="0.25">
      <c r="G52" s="6"/>
      <c r="H52" s="4"/>
      <c r="I52" s="182"/>
      <c r="J52" s="183"/>
    </row>
    <row r="53" spans="7:12" ht="15.75" x14ac:dyDescent="0.25">
      <c r="G53" s="6"/>
      <c r="H53" s="4"/>
      <c r="I53" s="182"/>
      <c r="J53" s="183"/>
    </row>
    <row r="54" spans="7:12" ht="15.75" x14ac:dyDescent="0.25">
      <c r="G54" s="6"/>
      <c r="H54" s="35"/>
      <c r="I54" s="182"/>
      <c r="J54" s="183"/>
      <c r="K54" s="204" t="s">
        <v>556</v>
      </c>
      <c r="L54" s="205"/>
    </row>
    <row r="55" spans="7:12" ht="15.75" x14ac:dyDescent="0.25">
      <c r="G55" s="6"/>
      <c r="H55" s="35"/>
      <c r="I55" s="182"/>
      <c r="J55" s="183"/>
    </row>
    <row r="56" spans="7:12" ht="15.75" x14ac:dyDescent="0.25">
      <c r="G56" s="6"/>
      <c r="H56" s="35"/>
      <c r="I56" s="182"/>
      <c r="J56" s="183"/>
    </row>
    <row r="58" spans="7:12" x14ac:dyDescent="0.25">
      <c r="G58" s="180"/>
      <c r="H58" s="180"/>
      <c r="I58" s="180" t="s">
        <v>64</v>
      </c>
      <c r="J58" s="180"/>
      <c r="K58" s="180" t="s">
        <v>64</v>
      </c>
      <c r="L58" s="180"/>
    </row>
    <row r="59" spans="7:12" x14ac:dyDescent="0.25">
      <c r="G59" s="180"/>
      <c r="H59" s="180"/>
      <c r="I59" s="180" t="s">
        <v>65</v>
      </c>
      <c r="J59" s="180"/>
      <c r="K59" s="180" t="s">
        <v>67</v>
      </c>
      <c r="L59" s="180"/>
    </row>
  </sheetData>
  <mergeCells count="82">
    <mergeCell ref="A1:B1"/>
    <mergeCell ref="D1:E1"/>
    <mergeCell ref="G1:L1"/>
    <mergeCell ref="A2:B2"/>
    <mergeCell ref="D2:E2"/>
    <mergeCell ref="I2:J2"/>
    <mergeCell ref="I16:J16"/>
    <mergeCell ref="I3:J3"/>
    <mergeCell ref="I5:J5"/>
    <mergeCell ref="I6:J6"/>
    <mergeCell ref="I7:J7"/>
    <mergeCell ref="I8:J8"/>
    <mergeCell ref="I9:J9"/>
    <mergeCell ref="I10:J10"/>
    <mergeCell ref="I11:J11"/>
    <mergeCell ref="I12:J12"/>
    <mergeCell ref="I13:J13"/>
    <mergeCell ref="I14:J14"/>
    <mergeCell ref="I15:J15"/>
    <mergeCell ref="I4:J4"/>
    <mergeCell ref="A24:B24"/>
    <mergeCell ref="I26:J26"/>
    <mergeCell ref="I17:J17"/>
    <mergeCell ref="I18:J18"/>
    <mergeCell ref="A17:B17"/>
    <mergeCell ref="I19:J19"/>
    <mergeCell ref="D18:E18"/>
    <mergeCell ref="I21:J21"/>
    <mergeCell ref="I22:J22"/>
    <mergeCell ref="I23:J23"/>
    <mergeCell ref="I24:J24"/>
    <mergeCell ref="I25:J25"/>
    <mergeCell ref="A33:B33"/>
    <mergeCell ref="C33:D33"/>
    <mergeCell ref="E33:F33"/>
    <mergeCell ref="I27:J27"/>
    <mergeCell ref="I28:J28"/>
    <mergeCell ref="D27:E27"/>
    <mergeCell ref="I29:J29"/>
    <mergeCell ref="A28:F30"/>
    <mergeCell ref="I31:J31"/>
    <mergeCell ref="I32:J32"/>
    <mergeCell ref="A32:B32"/>
    <mergeCell ref="C32:D32"/>
    <mergeCell ref="E32:F32"/>
    <mergeCell ref="I33:J33"/>
    <mergeCell ref="I34:J34"/>
    <mergeCell ref="H35:L35"/>
    <mergeCell ref="K36:L36"/>
    <mergeCell ref="I44:J44"/>
    <mergeCell ref="I45:J45"/>
    <mergeCell ref="I46:J46"/>
    <mergeCell ref="K46:L46"/>
    <mergeCell ref="G37:H37"/>
    <mergeCell ref="I37:J37"/>
    <mergeCell ref="K37:L37"/>
    <mergeCell ref="G38:H38"/>
    <mergeCell ref="I38:J38"/>
    <mergeCell ref="K38:L38"/>
    <mergeCell ref="K39:L39"/>
    <mergeCell ref="G42:J42"/>
    <mergeCell ref="K42:L42"/>
    <mergeCell ref="I43:J43"/>
    <mergeCell ref="K43:L43"/>
    <mergeCell ref="G58:H58"/>
    <mergeCell ref="I58:J58"/>
    <mergeCell ref="K58:L58"/>
    <mergeCell ref="G59:H59"/>
    <mergeCell ref="I59:J59"/>
    <mergeCell ref="K59:L59"/>
    <mergeCell ref="I56:J56"/>
    <mergeCell ref="I47:J47"/>
    <mergeCell ref="K47:L47"/>
    <mergeCell ref="I48:J48"/>
    <mergeCell ref="I49:J49"/>
    <mergeCell ref="K54:L54"/>
    <mergeCell ref="I55:J55"/>
    <mergeCell ref="I50:J50"/>
    <mergeCell ref="I51:J51"/>
    <mergeCell ref="I52:J52"/>
    <mergeCell ref="I53:J53"/>
    <mergeCell ref="I54:J5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1:L61"/>
  <sheetViews>
    <sheetView topLeftCell="G5" zoomScaleNormal="100" workbookViewId="0">
      <selection activeCell="G18" sqref="G18:K18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627</v>
      </c>
      <c r="B1" s="184"/>
      <c r="C1" s="10"/>
      <c r="D1" s="199" t="s">
        <v>55</v>
      </c>
      <c r="E1" s="200"/>
      <c r="G1" s="184" t="s">
        <v>626</v>
      </c>
      <c r="H1" s="184"/>
      <c r="I1" s="184"/>
      <c r="J1" s="184"/>
      <c r="K1" s="184"/>
      <c r="L1" s="184"/>
    </row>
    <row r="2" spans="1:12" ht="18.75" x14ac:dyDescent="0.3">
      <c r="A2" s="184" t="s">
        <v>589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H37</f>
        <v>30826.44</v>
      </c>
      <c r="C3" s="11"/>
      <c r="D3" s="5"/>
      <c r="E3" s="4">
        <v>117</v>
      </c>
      <c r="F3" t="s">
        <v>593</v>
      </c>
      <c r="G3" s="6">
        <v>42928</v>
      </c>
      <c r="H3" s="7">
        <v>400</v>
      </c>
      <c r="I3" s="187" t="s">
        <v>587</v>
      </c>
      <c r="J3" s="188"/>
      <c r="K3" s="8" t="s">
        <v>588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3">
        <v>106.24</v>
      </c>
      <c r="F4" t="s">
        <v>594</v>
      </c>
      <c r="G4" s="6">
        <v>42929</v>
      </c>
      <c r="H4" s="7">
        <v>300</v>
      </c>
      <c r="I4" s="187" t="s">
        <v>453</v>
      </c>
      <c r="J4" s="188"/>
      <c r="K4" s="8" t="s">
        <v>2241</v>
      </c>
      <c r="L4" s="8" t="s">
        <v>267</v>
      </c>
    </row>
    <row r="5" spans="1:12" ht="15.75" x14ac:dyDescent="0.25">
      <c r="A5" s="2" t="s">
        <v>4</v>
      </c>
      <c r="B5" s="3">
        <f>SUM(H46:H58)</f>
        <v>3221.7799999999997</v>
      </c>
      <c r="C5" s="11"/>
      <c r="D5" s="5"/>
      <c r="E5" s="4">
        <v>197.88</v>
      </c>
      <c r="F5" s="42" t="s">
        <v>595</v>
      </c>
      <c r="G5" s="6">
        <v>42930</v>
      </c>
      <c r="H5" s="7">
        <v>1443</v>
      </c>
      <c r="I5" s="187" t="s">
        <v>609</v>
      </c>
      <c r="J5" s="188"/>
      <c r="K5" s="8" t="s">
        <v>608</v>
      </c>
      <c r="L5" s="8" t="s">
        <v>268</v>
      </c>
    </row>
    <row r="6" spans="1:12" ht="15.75" x14ac:dyDescent="0.25">
      <c r="A6" s="2"/>
      <c r="B6" s="3"/>
      <c r="C6" s="11"/>
      <c r="D6" s="22"/>
      <c r="E6" s="4">
        <v>31.66</v>
      </c>
      <c r="F6" t="s">
        <v>596</v>
      </c>
      <c r="G6" s="6">
        <v>42930</v>
      </c>
      <c r="H6" s="7">
        <v>450</v>
      </c>
      <c r="I6" s="187" t="s">
        <v>366</v>
      </c>
      <c r="J6" s="188"/>
      <c r="K6" s="8" t="s">
        <v>543</v>
      </c>
      <c r="L6" s="8" t="s">
        <v>268</v>
      </c>
    </row>
    <row r="7" spans="1:12" ht="15.75" x14ac:dyDescent="0.25">
      <c r="A7" s="12" t="s">
        <v>5</v>
      </c>
      <c r="B7" s="25">
        <f>B3+B4-B5</f>
        <v>27604.66</v>
      </c>
      <c r="C7" s="11"/>
      <c r="D7" s="22"/>
      <c r="E7" s="4">
        <v>49.99</v>
      </c>
      <c r="F7" t="s">
        <v>597</v>
      </c>
      <c r="G7" s="6">
        <v>42930</v>
      </c>
      <c r="H7" s="7">
        <v>2500</v>
      </c>
      <c r="I7" s="187" t="s">
        <v>132</v>
      </c>
      <c r="J7" s="188"/>
      <c r="K7" s="8" t="s">
        <v>487</v>
      </c>
      <c r="L7" s="8" t="s">
        <v>267</v>
      </c>
    </row>
    <row r="8" spans="1:12" ht="15.75" x14ac:dyDescent="0.25">
      <c r="A8" s="2"/>
      <c r="B8" s="3"/>
      <c r="C8" s="11"/>
      <c r="D8" s="22"/>
      <c r="E8" s="4">
        <v>99.99</v>
      </c>
      <c r="F8" t="s">
        <v>598</v>
      </c>
      <c r="G8" s="6">
        <v>42930</v>
      </c>
      <c r="H8" s="7">
        <v>300</v>
      </c>
      <c r="I8" s="187" t="s">
        <v>600</v>
      </c>
      <c r="J8" s="188"/>
      <c r="K8" s="8" t="s">
        <v>601</v>
      </c>
      <c r="L8" s="8" t="s">
        <v>267</v>
      </c>
    </row>
    <row r="9" spans="1:12" ht="15.75" x14ac:dyDescent="0.25">
      <c r="A9" s="2" t="s">
        <v>14</v>
      </c>
      <c r="B9" s="3">
        <f>B7*0.1</f>
        <v>2760.4660000000003</v>
      </c>
      <c r="C9" s="11"/>
      <c r="D9" s="23"/>
      <c r="E9" s="4">
        <v>300</v>
      </c>
      <c r="F9" t="s">
        <v>605</v>
      </c>
      <c r="G9" s="6">
        <v>42930</v>
      </c>
      <c r="H9" s="7">
        <v>500</v>
      </c>
      <c r="I9" s="187" t="s">
        <v>604</v>
      </c>
      <c r="J9" s="188"/>
      <c r="K9" s="8" t="s">
        <v>446</v>
      </c>
      <c r="L9" s="8" t="s">
        <v>268</v>
      </c>
    </row>
    <row r="10" spans="1:12" ht="15.75" x14ac:dyDescent="0.25">
      <c r="A10" s="2"/>
      <c r="B10" s="3"/>
      <c r="C10" s="11"/>
      <c r="D10" s="12"/>
      <c r="E10" s="43">
        <v>150</v>
      </c>
      <c r="F10" t="s">
        <v>607</v>
      </c>
      <c r="G10" s="6">
        <v>42933</v>
      </c>
      <c r="H10" s="7">
        <v>971.87</v>
      </c>
      <c r="I10" s="187" t="s">
        <v>46</v>
      </c>
      <c r="J10" s="188"/>
      <c r="K10" s="8" t="s">
        <v>520</v>
      </c>
      <c r="L10" s="8" t="s">
        <v>268</v>
      </c>
    </row>
    <row r="11" spans="1:12" ht="15.75" x14ac:dyDescent="0.25">
      <c r="A11" s="2" t="s">
        <v>59</v>
      </c>
      <c r="B11" s="3">
        <f>(B7-B9)/2</f>
        <v>12422.097</v>
      </c>
      <c r="C11" s="11"/>
      <c r="D11" s="2"/>
      <c r="E11" s="4">
        <v>86.82</v>
      </c>
      <c r="F11" s="42" t="s">
        <v>614</v>
      </c>
      <c r="G11" s="6">
        <v>42933</v>
      </c>
      <c r="H11" s="7">
        <v>200</v>
      </c>
      <c r="I11" s="212" t="s">
        <v>602</v>
      </c>
      <c r="J11" s="213"/>
      <c r="K11" s="8" t="s">
        <v>2231</v>
      </c>
      <c r="L11" s="8" t="s">
        <v>267</v>
      </c>
    </row>
    <row r="12" spans="1:12" ht="15.75" x14ac:dyDescent="0.25">
      <c r="A12" s="2"/>
      <c r="B12" s="3"/>
      <c r="C12" s="11"/>
      <c r="D12" s="5">
        <v>42951</v>
      </c>
      <c r="E12" s="4">
        <v>200</v>
      </c>
      <c r="G12" s="6">
        <v>42933</v>
      </c>
      <c r="H12" s="7">
        <v>250</v>
      </c>
      <c r="I12" s="187" t="s">
        <v>162</v>
      </c>
      <c r="J12" s="188"/>
      <c r="K12" s="8" t="s">
        <v>2263</v>
      </c>
      <c r="L12" s="8" t="s">
        <v>267</v>
      </c>
    </row>
    <row r="13" spans="1:12" ht="15.75" x14ac:dyDescent="0.25">
      <c r="A13" s="2"/>
      <c r="B13" s="3"/>
      <c r="C13" s="11"/>
      <c r="D13" s="5"/>
      <c r="E13" s="4">
        <v>992</v>
      </c>
      <c r="F13" t="s">
        <v>625</v>
      </c>
      <c r="G13" s="6">
        <v>42933</v>
      </c>
      <c r="H13" s="7">
        <v>300</v>
      </c>
      <c r="I13" s="187" t="s">
        <v>453</v>
      </c>
      <c r="J13" s="188"/>
      <c r="K13" s="8" t="s">
        <v>2270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>
        <v>42934</v>
      </c>
      <c r="H14" s="7">
        <v>250</v>
      </c>
      <c r="I14" s="187" t="s">
        <v>366</v>
      </c>
      <c r="J14" s="188"/>
      <c r="K14" s="8" t="s">
        <v>606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42934</v>
      </c>
      <c r="H15" s="7">
        <v>12896.7</v>
      </c>
      <c r="I15" s="187" t="s">
        <v>46</v>
      </c>
      <c r="J15" s="188"/>
      <c r="K15" s="8" t="s">
        <v>572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42935</v>
      </c>
      <c r="H16" s="7">
        <v>100</v>
      </c>
      <c r="I16" s="187" t="s">
        <v>327</v>
      </c>
      <c r="J16" s="188"/>
      <c r="K16" s="8" t="s">
        <v>220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2331.58</v>
      </c>
      <c r="G17" s="6">
        <v>42937</v>
      </c>
      <c r="H17" s="7">
        <v>325</v>
      </c>
      <c r="I17" s="187" t="s">
        <v>602</v>
      </c>
      <c r="J17" s="188"/>
      <c r="K17" s="8" t="s">
        <v>2231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42970</v>
      </c>
      <c r="H18" s="7">
        <v>673</v>
      </c>
      <c r="I18" s="187" t="s">
        <v>562</v>
      </c>
      <c r="J18" s="188"/>
      <c r="K18" s="8" t="s">
        <v>2247</v>
      </c>
      <c r="L18" s="8" t="s">
        <v>267</v>
      </c>
    </row>
    <row r="19" spans="1:12" ht="15.75" x14ac:dyDescent="0.25">
      <c r="A19" s="2" t="s">
        <v>57</v>
      </c>
      <c r="B19" s="3">
        <f>B11-E17</f>
        <v>10090.517</v>
      </c>
      <c r="C19" s="1"/>
      <c r="D19" s="2" t="s">
        <v>1</v>
      </c>
      <c r="E19" s="2" t="s">
        <v>6</v>
      </c>
      <c r="G19" s="6">
        <v>42940</v>
      </c>
      <c r="H19" s="7">
        <v>150</v>
      </c>
      <c r="I19" s="187" t="s">
        <v>46</v>
      </c>
      <c r="J19" s="188"/>
      <c r="K19" s="8" t="s">
        <v>619</v>
      </c>
      <c r="L19" s="8" t="s">
        <v>268</v>
      </c>
    </row>
    <row r="20" spans="1:12" ht="15.75" x14ac:dyDescent="0.25">
      <c r="A20" s="2" t="s">
        <v>12</v>
      </c>
      <c r="B20" s="3">
        <f>B11-E25</f>
        <v>12422.097</v>
      </c>
      <c r="C20" s="1"/>
      <c r="D20" s="5"/>
      <c r="E20" s="21"/>
      <c r="G20" s="6">
        <v>42942</v>
      </c>
      <c r="H20" s="7">
        <v>300</v>
      </c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>
        <v>42942</v>
      </c>
      <c r="H21" s="7">
        <v>1600</v>
      </c>
      <c r="I21" s="187" t="s">
        <v>341</v>
      </c>
      <c r="J21" s="188"/>
      <c r="K21" s="8" t="s">
        <v>318</v>
      </c>
      <c r="L21" s="8" t="s">
        <v>267</v>
      </c>
    </row>
    <row r="22" spans="1:12" ht="15.75" x14ac:dyDescent="0.25">
      <c r="A22" s="2"/>
      <c r="B22" s="2"/>
      <c r="C22" s="1"/>
      <c r="D22" s="22"/>
      <c r="E22" s="21"/>
      <c r="G22" s="6">
        <v>42944</v>
      </c>
      <c r="H22" s="7">
        <v>200</v>
      </c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>
        <v>42947</v>
      </c>
      <c r="H23" s="7">
        <v>600</v>
      </c>
      <c r="I23" s="187" t="s">
        <v>616</v>
      </c>
      <c r="J23" s="188"/>
      <c r="K23" s="8" t="s">
        <v>2246</v>
      </c>
      <c r="L23" s="8" t="s">
        <v>267</v>
      </c>
    </row>
    <row r="24" spans="1:12" ht="15.75" x14ac:dyDescent="0.25">
      <c r="A24" s="196" t="s">
        <v>591</v>
      </c>
      <c r="B24" s="196"/>
      <c r="C24" s="1"/>
      <c r="D24" s="22"/>
      <c r="E24" s="21"/>
      <c r="F24" s="1"/>
      <c r="G24" s="6">
        <v>42947</v>
      </c>
      <c r="H24" s="7">
        <v>976.1</v>
      </c>
      <c r="I24" s="212" t="s">
        <v>618</v>
      </c>
      <c r="J24" s="213"/>
      <c r="K24" s="8" t="s">
        <v>617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42950</v>
      </c>
      <c r="H25" s="7">
        <v>118</v>
      </c>
      <c r="I25" s="187" t="s">
        <v>621</v>
      </c>
      <c r="J25" s="188"/>
      <c r="K25" s="8" t="s">
        <v>2274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42950</v>
      </c>
      <c r="H26" s="7">
        <v>150</v>
      </c>
      <c r="I26" s="212" t="s">
        <v>622</v>
      </c>
      <c r="J26" s="213"/>
      <c r="K26" s="8" t="s">
        <v>623</v>
      </c>
      <c r="L26" s="8" t="s">
        <v>267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42950</v>
      </c>
      <c r="H27" s="7">
        <v>29.9</v>
      </c>
      <c r="I27" s="212" t="s">
        <v>624</v>
      </c>
      <c r="J27" s="213"/>
      <c r="K27" s="8" t="s">
        <v>318</v>
      </c>
      <c r="L27" s="8" t="s">
        <v>268</v>
      </c>
    </row>
    <row r="28" spans="1:12" ht="15.75" x14ac:dyDescent="0.25">
      <c r="A28" s="209"/>
      <c r="B28" s="209"/>
      <c r="C28" s="209"/>
      <c r="D28" s="209"/>
      <c r="E28" s="209"/>
      <c r="F28" s="209"/>
      <c r="G28" s="6">
        <v>42954</v>
      </c>
      <c r="H28" s="7">
        <v>500</v>
      </c>
      <c r="I28" s="212" t="s">
        <v>505</v>
      </c>
      <c r="J28" s="213"/>
      <c r="K28" s="8" t="s">
        <v>2267</v>
      </c>
      <c r="L28" s="8" t="s">
        <v>267</v>
      </c>
    </row>
    <row r="29" spans="1:12" ht="15.75" x14ac:dyDescent="0.25">
      <c r="A29" s="209"/>
      <c r="B29" s="209"/>
      <c r="C29" s="209"/>
      <c r="D29" s="209"/>
      <c r="E29" s="209"/>
      <c r="F29" s="209"/>
      <c r="G29" s="6">
        <v>42954</v>
      </c>
      <c r="H29" s="7">
        <v>1821</v>
      </c>
      <c r="I29" s="187" t="s">
        <v>46</v>
      </c>
      <c r="J29" s="188"/>
      <c r="K29" s="8" t="s">
        <v>580</v>
      </c>
      <c r="L29" s="8" t="s">
        <v>268</v>
      </c>
    </row>
    <row r="30" spans="1:12" ht="15.75" x14ac:dyDescent="0.25">
      <c r="A30" s="209"/>
      <c r="B30" s="209"/>
      <c r="C30" s="209"/>
      <c r="D30" s="209"/>
      <c r="E30" s="209"/>
      <c r="F30" s="209"/>
      <c r="G30" s="6">
        <v>42955</v>
      </c>
      <c r="H30" s="7">
        <v>400</v>
      </c>
      <c r="I30" s="187" t="s">
        <v>327</v>
      </c>
      <c r="J30" s="188"/>
      <c r="K30" s="8" t="s">
        <v>570</v>
      </c>
      <c r="L30" s="8" t="s">
        <v>267</v>
      </c>
    </row>
    <row r="31" spans="1:12" ht="15.75" x14ac:dyDescent="0.25">
      <c r="A31" s="17"/>
      <c r="B31" s="29"/>
      <c r="C31" s="29"/>
      <c r="D31" s="29"/>
      <c r="E31" s="20"/>
      <c r="F31" s="1"/>
      <c r="G31" s="6">
        <v>42958</v>
      </c>
      <c r="H31" s="7">
        <v>600</v>
      </c>
      <c r="I31" s="187" t="s">
        <v>579</v>
      </c>
      <c r="J31" s="188"/>
      <c r="K31" s="8" t="s">
        <v>2214</v>
      </c>
      <c r="L31" s="8" t="s">
        <v>268</v>
      </c>
    </row>
    <row r="32" spans="1:12" ht="15.75" x14ac:dyDescent="0.25">
      <c r="A32" s="178"/>
      <c r="B32" s="178"/>
      <c r="C32" s="178"/>
      <c r="D32" s="178"/>
      <c r="E32" s="178"/>
      <c r="F32" s="178"/>
      <c r="G32" s="6">
        <v>42958</v>
      </c>
      <c r="H32" s="7">
        <v>300</v>
      </c>
      <c r="I32" s="187" t="s">
        <v>579</v>
      </c>
      <c r="J32" s="188"/>
      <c r="K32" s="8" t="s">
        <v>601</v>
      </c>
      <c r="L32" s="8" t="s">
        <v>267</v>
      </c>
    </row>
    <row r="33" spans="1:12" ht="15.75" x14ac:dyDescent="0.25">
      <c r="A33" s="180"/>
      <c r="B33" s="180"/>
      <c r="C33" s="180"/>
      <c r="D33" s="180"/>
      <c r="E33" s="180"/>
      <c r="F33" s="180"/>
      <c r="G33" s="6">
        <v>42961</v>
      </c>
      <c r="H33" s="7">
        <v>250</v>
      </c>
      <c r="I33" s="187" t="s">
        <v>162</v>
      </c>
      <c r="J33" s="188"/>
      <c r="K33" s="8" t="s">
        <v>2263</v>
      </c>
      <c r="L33" s="8" t="s">
        <v>267</v>
      </c>
    </row>
    <row r="34" spans="1:12" ht="15.75" x14ac:dyDescent="0.25">
      <c r="G34" s="6">
        <v>42962</v>
      </c>
      <c r="H34" s="7">
        <v>971.87</v>
      </c>
      <c r="I34" s="187" t="s">
        <v>46</v>
      </c>
      <c r="J34" s="188"/>
      <c r="K34" s="8" t="s">
        <v>520</v>
      </c>
      <c r="L34" s="8" t="s">
        <v>268</v>
      </c>
    </row>
    <row r="35" spans="1:12" ht="15.75" x14ac:dyDescent="0.25">
      <c r="G35" s="6"/>
      <c r="H35" s="7"/>
      <c r="I35" s="187"/>
      <c r="J35" s="188"/>
      <c r="K35" s="8"/>
      <c r="L35" s="8"/>
    </row>
    <row r="36" spans="1:12" ht="15.75" x14ac:dyDescent="0.25">
      <c r="G36" s="6"/>
      <c r="H36" s="7"/>
      <c r="I36" s="187"/>
      <c r="J36" s="188"/>
      <c r="K36" s="8"/>
      <c r="L36" s="8"/>
    </row>
    <row r="37" spans="1:12" ht="15.75" x14ac:dyDescent="0.25">
      <c r="G37" s="6" t="s">
        <v>23</v>
      </c>
      <c r="H37" s="193">
        <f>SUM(H3:H36)</f>
        <v>30826.44</v>
      </c>
      <c r="I37" s="194"/>
      <c r="J37" s="194"/>
      <c r="K37" s="194"/>
      <c r="L37" s="195"/>
    </row>
    <row r="38" spans="1:12" ht="15.75" x14ac:dyDescent="0.25">
      <c r="G38" s="1"/>
      <c r="H38" s="1"/>
      <c r="I38" s="1"/>
      <c r="J38" s="1"/>
      <c r="K38" s="196" t="s">
        <v>591</v>
      </c>
      <c r="L38" s="196"/>
    </row>
    <row r="39" spans="1:12" x14ac:dyDescent="0.25">
      <c r="G39" s="180"/>
      <c r="H39" s="180"/>
      <c r="I39" s="180" t="s">
        <v>69</v>
      </c>
      <c r="J39" s="180"/>
      <c r="K39" s="180" t="s">
        <v>69</v>
      </c>
      <c r="L39" s="180"/>
    </row>
    <row r="40" spans="1:12" x14ac:dyDescent="0.25">
      <c r="G40" s="180"/>
      <c r="H40" s="180"/>
      <c r="I40" s="180" t="s">
        <v>65</v>
      </c>
      <c r="J40" s="180"/>
      <c r="K40" s="180" t="s">
        <v>67</v>
      </c>
      <c r="L40" s="180"/>
    </row>
    <row r="41" spans="1:12" x14ac:dyDescent="0.25">
      <c r="K41" s="180"/>
      <c r="L41" s="180"/>
    </row>
    <row r="42" spans="1:12" x14ac:dyDescent="0.25">
      <c r="K42" s="18"/>
      <c r="L42" s="18"/>
    </row>
    <row r="43" spans="1:12" x14ac:dyDescent="0.25">
      <c r="K43" s="18"/>
      <c r="L43" s="18"/>
    </row>
    <row r="44" spans="1:12" ht="18.75" x14ac:dyDescent="0.3">
      <c r="G44" s="184" t="s">
        <v>25</v>
      </c>
      <c r="H44" s="184"/>
      <c r="I44" s="184"/>
      <c r="J44" s="184"/>
      <c r="K44" s="180"/>
      <c r="L44" s="180"/>
    </row>
    <row r="45" spans="1:12" ht="15.75" x14ac:dyDescent="0.25">
      <c r="G45" s="2" t="s">
        <v>1</v>
      </c>
      <c r="H45" s="2" t="s">
        <v>6</v>
      </c>
      <c r="I45" s="182" t="s">
        <v>13</v>
      </c>
      <c r="J45" s="183"/>
      <c r="K45" s="180"/>
      <c r="L45" s="180"/>
    </row>
    <row r="46" spans="1:12" ht="15.75" x14ac:dyDescent="0.25">
      <c r="G46" s="6">
        <v>42927</v>
      </c>
      <c r="H46" s="7">
        <v>600</v>
      </c>
      <c r="I46" s="182" t="s">
        <v>613</v>
      </c>
      <c r="J46" s="183"/>
      <c r="K46" s="18"/>
      <c r="L46" s="18"/>
    </row>
    <row r="47" spans="1:12" ht="15.75" x14ac:dyDescent="0.25">
      <c r="G47" s="6">
        <v>42940</v>
      </c>
      <c r="H47" s="7">
        <v>70</v>
      </c>
      <c r="I47" s="182" t="s">
        <v>610</v>
      </c>
      <c r="J47" s="183"/>
      <c r="K47" s="18"/>
      <c r="L47" s="18"/>
    </row>
    <row r="48" spans="1:12" ht="15.75" x14ac:dyDescent="0.25">
      <c r="G48" s="6">
        <v>42940</v>
      </c>
      <c r="H48" s="7">
        <v>114.78</v>
      </c>
      <c r="I48" s="182" t="s">
        <v>158</v>
      </c>
      <c r="J48" s="183"/>
      <c r="K48" s="180"/>
      <c r="L48" s="180"/>
    </row>
    <row r="49" spans="7:12" ht="15.75" x14ac:dyDescent="0.25">
      <c r="G49" s="6">
        <v>42944</v>
      </c>
      <c r="H49" s="4">
        <v>937</v>
      </c>
      <c r="I49" s="182" t="s">
        <v>620</v>
      </c>
      <c r="J49" s="183"/>
      <c r="K49" s="180"/>
      <c r="L49" s="180"/>
    </row>
    <row r="50" spans="7:12" ht="15.75" x14ac:dyDescent="0.25">
      <c r="G50" s="6">
        <v>42955</v>
      </c>
      <c r="H50" s="4">
        <v>1500</v>
      </c>
      <c r="I50" s="182"/>
      <c r="J50" s="183"/>
    </row>
    <row r="51" spans="7:12" ht="15.75" x14ac:dyDescent="0.25">
      <c r="G51" s="6"/>
      <c r="H51" s="4"/>
      <c r="I51" s="182"/>
      <c r="J51" s="183"/>
    </row>
    <row r="52" spans="7:12" ht="15.75" x14ac:dyDescent="0.25">
      <c r="G52" s="6"/>
      <c r="H52" s="4"/>
      <c r="I52" s="182"/>
      <c r="J52" s="183"/>
    </row>
    <row r="53" spans="7:12" ht="15.75" x14ac:dyDescent="0.25">
      <c r="G53" s="6"/>
      <c r="H53" s="4"/>
      <c r="I53" s="182"/>
      <c r="J53" s="183"/>
    </row>
    <row r="54" spans="7:12" ht="15.75" x14ac:dyDescent="0.25">
      <c r="G54" s="6"/>
      <c r="H54" s="4"/>
      <c r="I54" s="182"/>
      <c r="J54" s="183"/>
    </row>
    <row r="55" spans="7:12" ht="15.75" x14ac:dyDescent="0.25">
      <c r="G55" s="6"/>
      <c r="H55" s="4"/>
      <c r="I55" s="182"/>
      <c r="J55" s="183"/>
    </row>
    <row r="56" spans="7:12" ht="15.75" x14ac:dyDescent="0.25">
      <c r="G56" s="6"/>
      <c r="H56" s="35"/>
      <c r="I56" s="182"/>
      <c r="J56" s="183"/>
      <c r="K56" s="204" t="s">
        <v>592</v>
      </c>
      <c r="L56" s="205"/>
    </row>
    <row r="57" spans="7:12" ht="15.75" x14ac:dyDescent="0.25">
      <c r="G57" s="6"/>
      <c r="H57" s="35"/>
      <c r="I57" s="182"/>
      <c r="J57" s="183"/>
    </row>
    <row r="58" spans="7:12" ht="15.75" x14ac:dyDescent="0.25">
      <c r="G58" s="6"/>
      <c r="H58" s="35"/>
      <c r="I58" s="182"/>
      <c r="J58" s="183"/>
    </row>
    <row r="60" spans="7:12" x14ac:dyDescent="0.25">
      <c r="G60" s="180"/>
      <c r="H60" s="180"/>
      <c r="I60" s="180" t="s">
        <v>64</v>
      </c>
      <c r="J60" s="180"/>
      <c r="K60" s="180" t="s">
        <v>64</v>
      </c>
      <c r="L60" s="180"/>
    </row>
    <row r="61" spans="7:12" x14ac:dyDescent="0.25">
      <c r="G61" s="180"/>
      <c r="H61" s="180"/>
      <c r="I61" s="180" t="s">
        <v>65</v>
      </c>
      <c r="J61" s="180"/>
      <c r="K61" s="180" t="s">
        <v>67</v>
      </c>
      <c r="L61" s="180"/>
    </row>
  </sheetData>
  <mergeCells count="86">
    <mergeCell ref="A1:B1"/>
    <mergeCell ref="D1:E1"/>
    <mergeCell ref="G1:L1"/>
    <mergeCell ref="A2:B2"/>
    <mergeCell ref="D2:E2"/>
    <mergeCell ref="I2:J2"/>
    <mergeCell ref="I10:J10"/>
    <mergeCell ref="I12:J12"/>
    <mergeCell ref="I13:J13"/>
    <mergeCell ref="I14:J14"/>
    <mergeCell ref="I16:J16"/>
    <mergeCell ref="I11:J11"/>
    <mergeCell ref="I15:J15"/>
    <mergeCell ref="I3:J3"/>
    <mergeCell ref="I6:J6"/>
    <mergeCell ref="I7:J7"/>
    <mergeCell ref="I8:J8"/>
    <mergeCell ref="I9:J9"/>
    <mergeCell ref="I5:J5"/>
    <mergeCell ref="I4:J4"/>
    <mergeCell ref="I18:J18"/>
    <mergeCell ref="I20:J20"/>
    <mergeCell ref="A17:B17"/>
    <mergeCell ref="I21:J21"/>
    <mergeCell ref="D18:E18"/>
    <mergeCell ref="I19:J19"/>
    <mergeCell ref="I17:J17"/>
    <mergeCell ref="A24:B24"/>
    <mergeCell ref="I28:J28"/>
    <mergeCell ref="D27:E27"/>
    <mergeCell ref="I22:J22"/>
    <mergeCell ref="I23:J23"/>
    <mergeCell ref="I25:J25"/>
    <mergeCell ref="I26:J26"/>
    <mergeCell ref="I27:J27"/>
    <mergeCell ref="I24:J24"/>
    <mergeCell ref="A28:F30"/>
    <mergeCell ref="K38:L38"/>
    <mergeCell ref="A32:B32"/>
    <mergeCell ref="C32:D32"/>
    <mergeCell ref="E32:F32"/>
    <mergeCell ref="I29:J29"/>
    <mergeCell ref="A33:B33"/>
    <mergeCell ref="C33:D33"/>
    <mergeCell ref="E33:F33"/>
    <mergeCell ref="I30:J30"/>
    <mergeCell ref="I31:J31"/>
    <mergeCell ref="I32:J32"/>
    <mergeCell ref="I33:J33"/>
    <mergeCell ref="I36:J36"/>
    <mergeCell ref="H37:L37"/>
    <mergeCell ref="I34:J34"/>
    <mergeCell ref="I35:J35"/>
    <mergeCell ref="G39:H39"/>
    <mergeCell ref="I39:J39"/>
    <mergeCell ref="K39:L39"/>
    <mergeCell ref="G40:H40"/>
    <mergeCell ref="I40:J40"/>
    <mergeCell ref="K40:L40"/>
    <mergeCell ref="I50:J50"/>
    <mergeCell ref="K41:L41"/>
    <mergeCell ref="G44:J44"/>
    <mergeCell ref="K44:L44"/>
    <mergeCell ref="I45:J45"/>
    <mergeCell ref="K45:L45"/>
    <mergeCell ref="I46:J46"/>
    <mergeCell ref="I47:J47"/>
    <mergeCell ref="I48:J48"/>
    <mergeCell ref="K48:L48"/>
    <mergeCell ref="I49:J49"/>
    <mergeCell ref="K49:L49"/>
    <mergeCell ref="I51:J51"/>
    <mergeCell ref="I52:J52"/>
    <mergeCell ref="I53:J53"/>
    <mergeCell ref="I54:J54"/>
    <mergeCell ref="I55:J55"/>
    <mergeCell ref="G61:H61"/>
    <mergeCell ref="I61:J61"/>
    <mergeCell ref="K61:L61"/>
    <mergeCell ref="K56:L56"/>
    <mergeCell ref="I57:J57"/>
    <mergeCell ref="I58:J58"/>
    <mergeCell ref="G60:H60"/>
    <mergeCell ref="I60:J60"/>
    <mergeCell ref="K60:L60"/>
    <mergeCell ref="I56:J5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1:L54"/>
  <sheetViews>
    <sheetView topLeftCell="E3" workbookViewId="0">
      <selection activeCell="K24" sqref="K24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628</v>
      </c>
      <c r="B1" s="184"/>
      <c r="C1" s="10"/>
      <c r="D1" s="199" t="s">
        <v>55</v>
      </c>
      <c r="E1" s="200"/>
      <c r="G1" s="184" t="s">
        <v>630</v>
      </c>
      <c r="H1" s="184"/>
      <c r="I1" s="184"/>
      <c r="J1" s="184"/>
      <c r="K1" s="184"/>
      <c r="L1" s="184"/>
    </row>
    <row r="2" spans="1:12" ht="18.75" x14ac:dyDescent="0.3">
      <c r="A2" s="184" t="s">
        <v>629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H30</f>
        <v>29980.02</v>
      </c>
      <c r="C3" s="11"/>
      <c r="D3" s="5"/>
      <c r="E3" s="4"/>
      <c r="G3" s="6">
        <v>42958</v>
      </c>
      <c r="H3" s="7">
        <v>600</v>
      </c>
      <c r="I3" s="187" t="s">
        <v>579</v>
      </c>
      <c r="J3" s="188"/>
      <c r="K3" s="8" t="s">
        <v>2214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3">
        <v>106.24</v>
      </c>
      <c r="F4" t="s">
        <v>633</v>
      </c>
      <c r="G4" s="6">
        <v>42958</v>
      </c>
      <c r="H4" s="7">
        <v>300</v>
      </c>
      <c r="I4" s="187" t="s">
        <v>579</v>
      </c>
      <c r="J4" s="188"/>
      <c r="K4" s="8" t="s">
        <v>601</v>
      </c>
      <c r="L4" s="8" t="s">
        <v>267</v>
      </c>
    </row>
    <row r="5" spans="1:12" ht="15.75" x14ac:dyDescent="0.25">
      <c r="A5" s="2" t="s">
        <v>4</v>
      </c>
      <c r="B5" s="3">
        <f>SUM(H39:H51)</f>
        <v>2535.85</v>
      </c>
      <c r="C5" s="11"/>
      <c r="D5" s="5"/>
      <c r="E5" s="4">
        <v>197.88</v>
      </c>
      <c r="F5" s="42" t="s">
        <v>634</v>
      </c>
      <c r="G5" s="6">
        <v>42961</v>
      </c>
      <c r="H5" s="7">
        <v>250</v>
      </c>
      <c r="I5" s="187" t="s">
        <v>162</v>
      </c>
      <c r="J5" s="188"/>
      <c r="K5" s="8" t="s">
        <v>2263</v>
      </c>
      <c r="L5" s="8" t="s">
        <v>267</v>
      </c>
    </row>
    <row r="6" spans="1:12" ht="15.75" x14ac:dyDescent="0.25">
      <c r="A6" s="2"/>
      <c r="B6" s="3"/>
      <c r="C6" s="11"/>
      <c r="D6" s="22"/>
      <c r="E6" s="4">
        <v>31.66</v>
      </c>
      <c r="F6" t="s">
        <v>635</v>
      </c>
      <c r="G6" s="6">
        <v>42962</v>
      </c>
      <c r="H6" s="7">
        <v>971.87</v>
      </c>
      <c r="I6" s="187" t="s">
        <v>46</v>
      </c>
      <c r="J6" s="188"/>
      <c r="K6" s="8" t="s">
        <v>520</v>
      </c>
      <c r="L6" s="8" t="s">
        <v>268</v>
      </c>
    </row>
    <row r="7" spans="1:12" ht="15.75" x14ac:dyDescent="0.25">
      <c r="A7" s="12" t="s">
        <v>5</v>
      </c>
      <c r="B7" s="25">
        <f>B3+B4-B5</f>
        <v>27444.170000000002</v>
      </c>
      <c r="C7" s="11"/>
      <c r="D7" s="22"/>
      <c r="E7" s="4">
        <v>49.99</v>
      </c>
      <c r="F7" t="s">
        <v>636</v>
      </c>
      <c r="G7" s="6">
        <v>42963</v>
      </c>
      <c r="H7" s="7">
        <v>500</v>
      </c>
      <c r="I7" s="187" t="s">
        <v>578</v>
      </c>
      <c r="J7" s="188"/>
      <c r="K7" s="8" t="s">
        <v>2226</v>
      </c>
      <c r="L7" s="8" t="s">
        <v>267</v>
      </c>
    </row>
    <row r="8" spans="1:12" ht="15.75" x14ac:dyDescent="0.25">
      <c r="A8" s="2"/>
      <c r="B8" s="3"/>
      <c r="C8" s="11"/>
      <c r="D8" s="22"/>
      <c r="E8" s="4">
        <v>99.99</v>
      </c>
      <c r="F8" t="s">
        <v>637</v>
      </c>
      <c r="G8" s="6">
        <v>42963</v>
      </c>
      <c r="H8" s="7">
        <v>1443.15</v>
      </c>
      <c r="I8" s="187" t="s">
        <v>641</v>
      </c>
      <c r="J8" s="188"/>
      <c r="K8" s="8" t="s">
        <v>642</v>
      </c>
      <c r="L8" s="8" t="s">
        <v>267</v>
      </c>
    </row>
    <row r="9" spans="1:12" ht="15.75" x14ac:dyDescent="0.25">
      <c r="A9" s="2" t="s">
        <v>14</v>
      </c>
      <c r="B9" s="3">
        <f>B7*0.1</f>
        <v>2744.4170000000004</v>
      </c>
      <c r="C9" s="11"/>
      <c r="D9" s="44"/>
      <c r="E9" s="4">
        <v>200</v>
      </c>
      <c r="F9" t="s">
        <v>640</v>
      </c>
      <c r="G9" s="6">
        <v>42963</v>
      </c>
      <c r="H9" s="7">
        <v>240</v>
      </c>
      <c r="I9" s="187" t="s">
        <v>46</v>
      </c>
      <c r="J9" s="188"/>
      <c r="K9" s="8" t="s">
        <v>456</v>
      </c>
      <c r="L9" s="8" t="s">
        <v>268</v>
      </c>
    </row>
    <row r="10" spans="1:12" ht="15.75" x14ac:dyDescent="0.25">
      <c r="A10" s="2"/>
      <c r="B10" s="3"/>
      <c r="C10" s="11"/>
      <c r="D10" s="5">
        <v>42965</v>
      </c>
      <c r="E10" s="43">
        <v>150</v>
      </c>
      <c r="F10" t="s">
        <v>644</v>
      </c>
      <c r="G10" s="6">
        <v>42965</v>
      </c>
      <c r="H10" s="7">
        <v>250</v>
      </c>
      <c r="I10" s="187"/>
      <c r="J10" s="188"/>
      <c r="K10" s="8"/>
      <c r="L10" s="8"/>
    </row>
    <row r="11" spans="1:12" ht="15.75" x14ac:dyDescent="0.25">
      <c r="A11" s="2" t="s">
        <v>59</v>
      </c>
      <c r="B11" s="3">
        <f>(B7-B9)/2</f>
        <v>12349.8765</v>
      </c>
      <c r="C11" s="11"/>
      <c r="D11" s="2"/>
      <c r="E11" s="4">
        <v>300</v>
      </c>
      <c r="F11" s="42" t="s">
        <v>651</v>
      </c>
      <c r="G11" s="6">
        <v>42965</v>
      </c>
      <c r="H11" s="7">
        <v>150</v>
      </c>
      <c r="I11" s="187" t="s">
        <v>537</v>
      </c>
      <c r="J11" s="188"/>
      <c r="K11" s="8" t="s">
        <v>643</v>
      </c>
      <c r="L11" s="8" t="s">
        <v>268</v>
      </c>
    </row>
    <row r="12" spans="1:12" ht="15.75" x14ac:dyDescent="0.25">
      <c r="A12" s="2"/>
      <c r="B12" s="3"/>
      <c r="C12" s="11"/>
      <c r="D12" s="5">
        <v>42986</v>
      </c>
      <c r="E12" s="4">
        <v>992</v>
      </c>
      <c r="F12" t="s">
        <v>625</v>
      </c>
      <c r="G12" s="6">
        <v>42965</v>
      </c>
      <c r="H12" s="7">
        <v>375</v>
      </c>
      <c r="I12" s="187"/>
      <c r="J12" s="188"/>
      <c r="K12" s="8"/>
      <c r="L12" s="8"/>
    </row>
    <row r="13" spans="1:12" ht="15.75" x14ac:dyDescent="0.25">
      <c r="A13" s="2"/>
      <c r="B13" s="3"/>
      <c r="C13" s="11"/>
      <c r="D13" s="5"/>
      <c r="E13" s="4"/>
      <c r="G13" s="6">
        <v>42965</v>
      </c>
      <c r="H13" s="7">
        <v>300</v>
      </c>
      <c r="I13" s="187" t="s">
        <v>453</v>
      </c>
      <c r="J13" s="188"/>
      <c r="K13" s="8" t="s">
        <v>2270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>
        <v>42970</v>
      </c>
      <c r="H14" s="7">
        <v>1600</v>
      </c>
      <c r="I14" s="187" t="s">
        <v>649</v>
      </c>
      <c r="J14" s="188"/>
      <c r="K14" s="8" t="s">
        <v>318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42970</v>
      </c>
      <c r="H15" s="7">
        <v>2500</v>
      </c>
      <c r="I15" s="187" t="s">
        <v>650</v>
      </c>
      <c r="J15" s="188"/>
      <c r="K15" s="8" t="s">
        <v>487</v>
      </c>
      <c r="L15" s="8" t="s">
        <v>267</v>
      </c>
    </row>
    <row r="16" spans="1:12" ht="15.75" x14ac:dyDescent="0.25">
      <c r="A16" s="2"/>
      <c r="B16" s="2"/>
      <c r="C16" s="1"/>
      <c r="D16" s="22"/>
      <c r="E16" s="4"/>
      <c r="G16" s="6">
        <v>42971</v>
      </c>
      <c r="H16" s="7">
        <v>600</v>
      </c>
      <c r="I16" s="187" t="s">
        <v>579</v>
      </c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2127.7600000000002</v>
      </c>
      <c r="G17" s="6">
        <v>42977</v>
      </c>
      <c r="H17" s="7">
        <v>7000</v>
      </c>
      <c r="I17" s="187" t="s">
        <v>655</v>
      </c>
      <c r="J17" s="188"/>
      <c r="K17" s="8" t="s">
        <v>2234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42979</v>
      </c>
      <c r="H18" s="7">
        <v>300</v>
      </c>
      <c r="I18" s="212" t="s">
        <v>518</v>
      </c>
      <c r="J18" s="213"/>
      <c r="K18" s="8" t="s">
        <v>646</v>
      </c>
      <c r="L18" s="8" t="s">
        <v>268</v>
      </c>
    </row>
    <row r="19" spans="1:12" ht="15.75" x14ac:dyDescent="0.25">
      <c r="A19" s="2" t="s">
        <v>57</v>
      </c>
      <c r="B19" s="3">
        <f>B11-E17</f>
        <v>10222.1165</v>
      </c>
      <c r="C19" s="1"/>
      <c r="D19" s="2" t="s">
        <v>1</v>
      </c>
      <c r="E19" s="2" t="s">
        <v>6</v>
      </c>
      <c r="G19" s="6">
        <v>42982</v>
      </c>
      <c r="H19" s="7">
        <v>500</v>
      </c>
      <c r="I19" s="187" t="s">
        <v>263</v>
      </c>
      <c r="J19" s="188"/>
      <c r="K19" s="8" t="s">
        <v>647</v>
      </c>
      <c r="L19" s="8" t="s">
        <v>267</v>
      </c>
    </row>
    <row r="20" spans="1:12" ht="15.75" x14ac:dyDescent="0.25">
      <c r="A20" s="2" t="s">
        <v>12</v>
      </c>
      <c r="B20" s="3">
        <f>B11-E25</f>
        <v>12349.8765</v>
      </c>
      <c r="C20" s="1"/>
      <c r="D20" s="5"/>
      <c r="E20" s="21"/>
      <c r="G20" s="6">
        <v>42982</v>
      </c>
      <c r="H20" s="7">
        <v>1000</v>
      </c>
      <c r="I20" s="187" t="s">
        <v>648</v>
      </c>
      <c r="J20" s="188"/>
      <c r="K20" s="8" t="s">
        <v>117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42982</v>
      </c>
      <c r="H21" s="7">
        <v>450</v>
      </c>
      <c r="I21" s="187" t="s">
        <v>518</v>
      </c>
      <c r="J21" s="188"/>
      <c r="K21" s="8" t="s">
        <v>543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42984</v>
      </c>
      <c r="H22" s="7">
        <v>200</v>
      </c>
      <c r="I22" s="187" t="s">
        <v>518</v>
      </c>
      <c r="J22" s="188"/>
      <c r="K22" s="8" t="s">
        <v>652</v>
      </c>
      <c r="L22" s="8" t="s">
        <v>268</v>
      </c>
    </row>
    <row r="23" spans="1:12" ht="15.75" x14ac:dyDescent="0.25">
      <c r="A23" s="1"/>
      <c r="B23" s="1"/>
      <c r="C23" s="1"/>
      <c r="D23" s="22"/>
      <c r="E23" s="21"/>
      <c r="F23" s="1"/>
      <c r="G23" s="6">
        <v>42984</v>
      </c>
      <c r="H23" s="7">
        <v>500</v>
      </c>
      <c r="I23" s="187" t="s">
        <v>263</v>
      </c>
      <c r="J23" s="188"/>
      <c r="K23" s="8" t="s">
        <v>653</v>
      </c>
      <c r="L23" s="8" t="s">
        <v>267</v>
      </c>
    </row>
    <row r="24" spans="1:12" ht="15.75" x14ac:dyDescent="0.25">
      <c r="A24" s="196" t="s">
        <v>631</v>
      </c>
      <c r="B24" s="196"/>
      <c r="C24" s="1"/>
      <c r="D24" s="22"/>
      <c r="E24" s="21"/>
      <c r="F24" s="1"/>
      <c r="G24" s="6">
        <v>42982</v>
      </c>
      <c r="H24" s="7">
        <v>1500</v>
      </c>
      <c r="I24" s="187" t="s">
        <v>654</v>
      </c>
      <c r="J24" s="188"/>
      <c r="K24" s="8" t="s">
        <v>2215</v>
      </c>
      <c r="L24" s="8" t="s">
        <v>267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42984</v>
      </c>
      <c r="H25" s="7">
        <v>6629</v>
      </c>
      <c r="I25" s="187" t="s">
        <v>654</v>
      </c>
      <c r="J25" s="188"/>
      <c r="K25" s="8" t="s">
        <v>2234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>
        <v>42986</v>
      </c>
      <c r="H26" s="7">
        <v>1821</v>
      </c>
      <c r="I26" s="187" t="s">
        <v>46</v>
      </c>
      <c r="J26" s="188"/>
      <c r="K26" s="8" t="s">
        <v>434</v>
      </c>
      <c r="L26" s="8" t="s">
        <v>268</v>
      </c>
    </row>
    <row r="27" spans="1:12" ht="18.75" x14ac:dyDescent="0.3">
      <c r="A27" s="17"/>
      <c r="B27" s="17"/>
      <c r="C27" s="17"/>
      <c r="D27" s="178"/>
      <c r="E27" s="178"/>
      <c r="F27" s="9"/>
      <c r="G27" s="6"/>
      <c r="H27" s="7"/>
      <c r="I27" s="187"/>
      <c r="J27" s="188"/>
      <c r="K27" s="8"/>
      <c r="L27" s="8"/>
    </row>
    <row r="28" spans="1:12" ht="15.75" x14ac:dyDescent="0.25">
      <c r="A28" s="209"/>
      <c r="B28" s="209"/>
      <c r="C28" s="209"/>
      <c r="D28" s="209"/>
      <c r="E28" s="209"/>
      <c r="F28" s="209"/>
      <c r="G28" s="6"/>
      <c r="H28" s="7"/>
      <c r="I28" s="187"/>
      <c r="J28" s="188"/>
      <c r="K28" s="8"/>
      <c r="L28" s="8"/>
    </row>
    <row r="29" spans="1:12" ht="15.75" x14ac:dyDescent="0.25">
      <c r="A29" s="209"/>
      <c r="B29" s="209"/>
      <c r="C29" s="209"/>
      <c r="D29" s="209"/>
      <c r="E29" s="209"/>
      <c r="F29" s="209"/>
      <c r="G29" s="6"/>
      <c r="H29" s="7"/>
      <c r="I29" s="187"/>
      <c r="J29" s="188"/>
      <c r="K29" s="8"/>
      <c r="L29" s="8"/>
    </row>
    <row r="30" spans="1:12" ht="15.75" x14ac:dyDescent="0.25">
      <c r="A30" s="209"/>
      <c r="B30" s="209"/>
      <c r="C30" s="209"/>
      <c r="D30" s="209"/>
      <c r="E30" s="209"/>
      <c r="F30" s="209"/>
      <c r="G30" s="6" t="s">
        <v>23</v>
      </c>
      <c r="H30" s="193">
        <f>SUM(H3:H29)</f>
        <v>29980.02</v>
      </c>
      <c r="I30" s="194"/>
      <c r="J30" s="194"/>
      <c r="K30" s="194"/>
      <c r="L30" s="195"/>
    </row>
    <row r="31" spans="1:12" ht="15.75" x14ac:dyDescent="0.25">
      <c r="A31" s="17"/>
      <c r="B31" s="29"/>
      <c r="C31" s="29"/>
      <c r="D31" s="29"/>
      <c r="E31" s="20"/>
      <c r="F31" s="1"/>
      <c r="G31" s="1"/>
      <c r="H31" s="1"/>
      <c r="I31" s="1"/>
      <c r="J31" s="1"/>
      <c r="K31" s="196" t="s">
        <v>631</v>
      </c>
      <c r="L31" s="196"/>
    </row>
    <row r="32" spans="1:12" ht="15.75" x14ac:dyDescent="0.25">
      <c r="A32" s="178"/>
      <c r="B32" s="178"/>
      <c r="C32" s="178"/>
      <c r="D32" s="178"/>
      <c r="E32" s="178"/>
      <c r="F32" s="178"/>
      <c r="G32" s="180"/>
      <c r="H32" s="180"/>
      <c r="I32" s="180" t="s">
        <v>69</v>
      </c>
      <c r="J32" s="180"/>
      <c r="K32" s="180" t="s">
        <v>69</v>
      </c>
      <c r="L32" s="180"/>
    </row>
    <row r="33" spans="1:12" x14ac:dyDescent="0.25">
      <c r="A33" s="180"/>
      <c r="B33" s="180"/>
      <c r="C33" s="180"/>
      <c r="D33" s="180"/>
      <c r="E33" s="180"/>
      <c r="F33" s="180"/>
      <c r="G33" s="180"/>
      <c r="H33" s="180"/>
      <c r="I33" s="180" t="s">
        <v>65</v>
      </c>
      <c r="J33" s="180"/>
      <c r="K33" s="180" t="s">
        <v>67</v>
      </c>
      <c r="L33" s="180"/>
    </row>
    <row r="34" spans="1:12" x14ac:dyDescent="0.25">
      <c r="K34" s="180"/>
      <c r="L34" s="180"/>
    </row>
    <row r="35" spans="1:12" x14ac:dyDescent="0.25">
      <c r="K35" s="18"/>
      <c r="L35" s="18"/>
    </row>
    <row r="36" spans="1:12" x14ac:dyDescent="0.25">
      <c r="K36" s="18"/>
      <c r="L36" s="18"/>
    </row>
    <row r="37" spans="1:12" ht="18.75" x14ac:dyDescent="0.3">
      <c r="G37" s="184" t="s">
        <v>25</v>
      </c>
      <c r="H37" s="184"/>
      <c r="I37" s="184"/>
      <c r="J37" s="184"/>
      <c r="K37" s="180"/>
      <c r="L37" s="180"/>
    </row>
    <row r="38" spans="1:12" ht="15.75" x14ac:dyDescent="0.25">
      <c r="G38" s="2" t="s">
        <v>1</v>
      </c>
      <c r="H38" s="2" t="s">
        <v>6</v>
      </c>
      <c r="I38" s="182" t="s">
        <v>13</v>
      </c>
      <c r="J38" s="183"/>
      <c r="K38" s="180"/>
      <c r="L38" s="180"/>
    </row>
    <row r="39" spans="1:12" ht="15.75" x14ac:dyDescent="0.25">
      <c r="G39" s="6">
        <v>42958</v>
      </c>
      <c r="H39" s="7">
        <v>600</v>
      </c>
      <c r="I39" s="182" t="s">
        <v>613</v>
      </c>
      <c r="J39" s="183"/>
      <c r="K39" s="18"/>
      <c r="L39" s="18"/>
    </row>
    <row r="40" spans="1:12" ht="15.75" x14ac:dyDescent="0.25">
      <c r="G40" s="6">
        <v>42962</v>
      </c>
      <c r="H40" s="7">
        <v>200</v>
      </c>
      <c r="I40" s="182" t="s">
        <v>638</v>
      </c>
      <c r="J40" s="183"/>
      <c r="K40" s="18"/>
      <c r="L40" s="18"/>
    </row>
    <row r="41" spans="1:12" ht="15.75" x14ac:dyDescent="0.25">
      <c r="G41" s="6">
        <v>42962</v>
      </c>
      <c r="H41" s="7">
        <v>15.5</v>
      </c>
      <c r="I41" s="182" t="s">
        <v>639</v>
      </c>
      <c r="J41" s="183"/>
      <c r="K41" s="180"/>
      <c r="L41" s="180"/>
    </row>
    <row r="42" spans="1:12" ht="15.75" x14ac:dyDescent="0.25">
      <c r="G42" s="6">
        <v>42962</v>
      </c>
      <c r="H42" s="4">
        <v>54.86</v>
      </c>
      <c r="I42" s="182" t="s">
        <v>639</v>
      </c>
      <c r="J42" s="183"/>
      <c r="K42" s="180"/>
      <c r="L42" s="180"/>
    </row>
    <row r="43" spans="1:12" ht="15.75" x14ac:dyDescent="0.25">
      <c r="G43" s="6">
        <v>42962</v>
      </c>
      <c r="H43" s="4">
        <v>11.9</v>
      </c>
      <c r="I43" s="182" t="s">
        <v>639</v>
      </c>
      <c r="J43" s="183"/>
    </row>
    <row r="44" spans="1:12" ht="15.75" x14ac:dyDescent="0.25">
      <c r="G44" s="6">
        <v>42977</v>
      </c>
      <c r="H44" s="4">
        <v>153.59</v>
      </c>
      <c r="I44" s="182" t="s">
        <v>645</v>
      </c>
      <c r="J44" s="183"/>
    </row>
    <row r="45" spans="1:12" ht="15.75" x14ac:dyDescent="0.25">
      <c r="G45" s="6">
        <v>42988</v>
      </c>
      <c r="H45" s="4">
        <v>1500</v>
      </c>
      <c r="I45" s="182" t="s">
        <v>173</v>
      </c>
      <c r="J45" s="183"/>
    </row>
    <row r="46" spans="1:12" ht="15.75" x14ac:dyDescent="0.25">
      <c r="G46" s="6"/>
      <c r="H46" s="4"/>
      <c r="I46" s="182"/>
      <c r="J46" s="183"/>
    </row>
    <row r="47" spans="1:12" ht="15.75" x14ac:dyDescent="0.25">
      <c r="G47" s="6"/>
      <c r="H47" s="4"/>
      <c r="I47" s="182"/>
      <c r="J47" s="183"/>
    </row>
    <row r="48" spans="1:12" ht="15.75" x14ac:dyDescent="0.25">
      <c r="G48" s="6"/>
      <c r="H48" s="4"/>
      <c r="I48" s="182"/>
      <c r="J48" s="183"/>
    </row>
    <row r="49" spans="7:12" ht="15.75" x14ac:dyDescent="0.25">
      <c r="G49" s="6"/>
      <c r="H49" s="35"/>
      <c r="I49" s="182"/>
      <c r="J49" s="183"/>
      <c r="K49" s="204" t="s">
        <v>632</v>
      </c>
      <c r="L49" s="205"/>
    </row>
    <row r="50" spans="7:12" ht="15.75" x14ac:dyDescent="0.25">
      <c r="G50" s="6"/>
      <c r="H50" s="35"/>
      <c r="I50" s="182"/>
      <c r="J50" s="183"/>
    </row>
    <row r="51" spans="7:12" ht="15.75" x14ac:dyDescent="0.25">
      <c r="G51" s="6"/>
      <c r="H51" s="35"/>
      <c r="I51" s="182"/>
      <c r="J51" s="183"/>
    </row>
    <row r="53" spans="7:12" x14ac:dyDescent="0.25">
      <c r="G53" s="180"/>
      <c r="H53" s="180"/>
      <c r="I53" s="180" t="s">
        <v>64</v>
      </c>
      <c r="J53" s="180"/>
      <c r="K53" s="180" t="s">
        <v>64</v>
      </c>
      <c r="L53" s="180"/>
    </row>
    <row r="54" spans="7:12" x14ac:dyDescent="0.25">
      <c r="G54" s="180"/>
      <c r="H54" s="180"/>
      <c r="I54" s="180" t="s">
        <v>65</v>
      </c>
      <c r="J54" s="180"/>
      <c r="K54" s="180" t="s">
        <v>67</v>
      </c>
      <c r="L54" s="180"/>
    </row>
  </sheetData>
  <mergeCells count="79">
    <mergeCell ref="A1:B1"/>
    <mergeCell ref="D1:E1"/>
    <mergeCell ref="G1:L1"/>
    <mergeCell ref="A2:B2"/>
    <mergeCell ref="D2:E2"/>
    <mergeCell ref="I2:J2"/>
    <mergeCell ref="I8:J8"/>
    <mergeCell ref="I11:J11"/>
    <mergeCell ref="I12:J12"/>
    <mergeCell ref="I18:J18"/>
    <mergeCell ref="I19:J19"/>
    <mergeCell ref="I13:J13"/>
    <mergeCell ref="I14:J14"/>
    <mergeCell ref="I15:J15"/>
    <mergeCell ref="I16:J16"/>
    <mergeCell ref="I9:J9"/>
    <mergeCell ref="I10:J10"/>
    <mergeCell ref="I17:J17"/>
    <mergeCell ref="I3:J3"/>
    <mergeCell ref="I4:J4"/>
    <mergeCell ref="I5:J5"/>
    <mergeCell ref="I6:J6"/>
    <mergeCell ref="I7:J7"/>
    <mergeCell ref="A24:B24"/>
    <mergeCell ref="I22:J22"/>
    <mergeCell ref="I23:J23"/>
    <mergeCell ref="A17:B17"/>
    <mergeCell ref="I24:J24"/>
    <mergeCell ref="D18:E18"/>
    <mergeCell ref="I25:J25"/>
    <mergeCell ref="I26:J26"/>
    <mergeCell ref="I27:J27"/>
    <mergeCell ref="I21:J21"/>
    <mergeCell ref="I20:J20"/>
    <mergeCell ref="D27:E27"/>
    <mergeCell ref="A28:F30"/>
    <mergeCell ref="A32:B32"/>
    <mergeCell ref="C32:D32"/>
    <mergeCell ref="E32:F32"/>
    <mergeCell ref="A33:B33"/>
    <mergeCell ref="C33:D33"/>
    <mergeCell ref="E33:F33"/>
    <mergeCell ref="I28:J28"/>
    <mergeCell ref="I29:J29"/>
    <mergeCell ref="H30:L30"/>
    <mergeCell ref="K33:L33"/>
    <mergeCell ref="G32:H32"/>
    <mergeCell ref="I32:J32"/>
    <mergeCell ref="K32:L32"/>
    <mergeCell ref="K49:L49"/>
    <mergeCell ref="K31:L31"/>
    <mergeCell ref="K37:L37"/>
    <mergeCell ref="I38:J38"/>
    <mergeCell ref="K38:L38"/>
    <mergeCell ref="I39:J39"/>
    <mergeCell ref="K34:L34"/>
    <mergeCell ref="K53:L53"/>
    <mergeCell ref="G54:H54"/>
    <mergeCell ref="I54:J54"/>
    <mergeCell ref="K54:L54"/>
    <mergeCell ref="I40:J40"/>
    <mergeCell ref="I41:J41"/>
    <mergeCell ref="K41:L41"/>
    <mergeCell ref="I51:J51"/>
    <mergeCell ref="I42:J42"/>
    <mergeCell ref="K42:L42"/>
    <mergeCell ref="I43:J43"/>
    <mergeCell ref="I44:J44"/>
    <mergeCell ref="I45:J45"/>
    <mergeCell ref="I46:J46"/>
    <mergeCell ref="I47:J47"/>
    <mergeCell ref="I48:J48"/>
    <mergeCell ref="G53:H53"/>
    <mergeCell ref="I53:J53"/>
    <mergeCell ref="I49:J49"/>
    <mergeCell ref="G33:H33"/>
    <mergeCell ref="I33:J33"/>
    <mergeCell ref="I50:J50"/>
    <mergeCell ref="G37:J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L51"/>
  <sheetViews>
    <sheetView topLeftCell="F1" workbookViewId="0">
      <selection activeCell="F10" sqref="F10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656</v>
      </c>
      <c r="B1" s="184"/>
      <c r="C1" s="10"/>
      <c r="D1" s="199" t="s">
        <v>55</v>
      </c>
      <c r="E1" s="200"/>
      <c r="G1" s="184" t="s">
        <v>658</v>
      </c>
      <c r="H1" s="184"/>
      <c r="I1" s="184"/>
      <c r="J1" s="184"/>
      <c r="K1" s="184"/>
      <c r="L1" s="184"/>
    </row>
    <row r="2" spans="1:12" ht="18.75" x14ac:dyDescent="0.3">
      <c r="A2" s="184" t="s">
        <v>657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H27</f>
        <v>23547.750000000004</v>
      </c>
      <c r="C3" s="11"/>
      <c r="D3" s="5"/>
      <c r="E3" s="4">
        <v>197.88</v>
      </c>
      <c r="F3" s="42" t="s">
        <v>665</v>
      </c>
      <c r="G3" s="6">
        <v>42989</v>
      </c>
      <c r="H3" s="7">
        <v>481.05</v>
      </c>
      <c r="I3" s="187" t="s">
        <v>664</v>
      </c>
      <c r="J3" s="188"/>
      <c r="K3" s="8" t="s">
        <v>2274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>
        <v>31.66</v>
      </c>
      <c r="F4" t="s">
        <v>666</v>
      </c>
      <c r="G4" s="6">
        <v>42990</v>
      </c>
      <c r="H4" s="7">
        <v>100</v>
      </c>
      <c r="I4" s="187" t="s">
        <v>662</v>
      </c>
      <c r="J4" s="188"/>
      <c r="K4" s="8" t="s">
        <v>661</v>
      </c>
      <c r="L4" s="8" t="s">
        <v>268</v>
      </c>
    </row>
    <row r="5" spans="1:12" ht="15.75" x14ac:dyDescent="0.25">
      <c r="A5" s="2" t="s">
        <v>4</v>
      </c>
      <c r="B5" s="3">
        <f>SUM(H36:H48)</f>
        <v>6184.8899999999994</v>
      </c>
      <c r="C5" s="11"/>
      <c r="D5" s="5"/>
      <c r="E5" s="4">
        <v>49.99</v>
      </c>
      <c r="F5" t="s">
        <v>667</v>
      </c>
      <c r="G5" s="6">
        <v>42991</v>
      </c>
      <c r="H5" s="7">
        <v>500</v>
      </c>
      <c r="I5" s="187" t="s">
        <v>263</v>
      </c>
      <c r="J5" s="188"/>
      <c r="K5" s="8" t="s">
        <v>647</v>
      </c>
      <c r="L5" s="8"/>
    </row>
    <row r="6" spans="1:12" ht="15.75" x14ac:dyDescent="0.25">
      <c r="A6" s="2"/>
      <c r="B6" s="3"/>
      <c r="C6" s="11"/>
      <c r="D6" s="22"/>
      <c r="E6" s="4">
        <v>99.99</v>
      </c>
      <c r="F6" t="s">
        <v>668</v>
      </c>
      <c r="G6" s="6">
        <v>42992</v>
      </c>
      <c r="H6" s="7">
        <v>2500</v>
      </c>
      <c r="I6" s="36" t="s">
        <v>132</v>
      </c>
      <c r="J6" s="37"/>
      <c r="K6" s="8" t="s">
        <v>487</v>
      </c>
      <c r="L6" s="8" t="s">
        <v>267</v>
      </c>
    </row>
    <row r="7" spans="1:12" ht="15.75" x14ac:dyDescent="0.25">
      <c r="A7" s="12" t="s">
        <v>5</v>
      </c>
      <c r="B7" s="25">
        <f>B3+B4-B5</f>
        <v>17362.860000000004</v>
      </c>
      <c r="C7" s="11"/>
      <c r="D7" s="22"/>
      <c r="E7" s="4">
        <v>200</v>
      </c>
      <c r="F7" t="s">
        <v>663</v>
      </c>
      <c r="G7" s="6">
        <v>42992</v>
      </c>
      <c r="H7" s="7">
        <v>374</v>
      </c>
      <c r="I7" s="187" t="s">
        <v>162</v>
      </c>
      <c r="J7" s="188"/>
      <c r="K7" s="8" t="s">
        <v>442</v>
      </c>
      <c r="L7" s="8" t="s">
        <v>267</v>
      </c>
    </row>
    <row r="8" spans="1:12" ht="15.75" x14ac:dyDescent="0.25">
      <c r="A8" s="2"/>
      <c r="B8" s="3"/>
      <c r="C8" s="11"/>
      <c r="D8" s="22"/>
      <c r="E8" s="4">
        <v>100</v>
      </c>
      <c r="G8" s="6">
        <v>42992</v>
      </c>
      <c r="H8" s="7">
        <v>300</v>
      </c>
      <c r="I8" s="187" t="s">
        <v>240</v>
      </c>
      <c r="J8" s="188"/>
      <c r="K8" s="8"/>
      <c r="L8" s="8"/>
    </row>
    <row r="9" spans="1:12" ht="15.75" x14ac:dyDescent="0.25">
      <c r="A9" s="2" t="s">
        <v>14</v>
      </c>
      <c r="B9" s="3">
        <f>B7*0.1</f>
        <v>1736.2860000000005</v>
      </c>
      <c r="C9" s="11"/>
      <c r="D9" s="44"/>
      <c r="E9" s="4">
        <v>200</v>
      </c>
      <c r="F9" t="s">
        <v>676</v>
      </c>
      <c r="G9" s="6">
        <v>42992</v>
      </c>
      <c r="H9" s="7">
        <v>2195.75</v>
      </c>
      <c r="I9" s="187" t="s">
        <v>422</v>
      </c>
      <c r="J9" s="188"/>
      <c r="K9" s="8" t="s">
        <v>2242</v>
      </c>
      <c r="L9" s="8" t="s">
        <v>267</v>
      </c>
    </row>
    <row r="10" spans="1:12" ht="15.75" x14ac:dyDescent="0.25">
      <c r="A10" s="2"/>
      <c r="B10" s="3"/>
      <c r="C10" s="11"/>
      <c r="D10" s="5"/>
      <c r="E10" s="43">
        <v>100</v>
      </c>
      <c r="F10" t="s">
        <v>153</v>
      </c>
      <c r="G10" s="6">
        <v>42993</v>
      </c>
      <c r="H10" s="7">
        <v>500</v>
      </c>
      <c r="I10" s="187" t="s">
        <v>263</v>
      </c>
      <c r="J10" s="188"/>
      <c r="K10" s="8" t="s">
        <v>647</v>
      </c>
      <c r="L10" s="8" t="s">
        <v>267</v>
      </c>
    </row>
    <row r="11" spans="1:12" ht="15.75" x14ac:dyDescent="0.25">
      <c r="A11" s="2" t="s">
        <v>59</v>
      </c>
      <c r="B11" s="3">
        <f>(B7-B9)/2</f>
        <v>7813.2870000000021</v>
      </c>
      <c r="C11" s="11"/>
      <c r="D11" s="2"/>
      <c r="E11" s="4">
        <v>900</v>
      </c>
      <c r="F11" s="42"/>
      <c r="G11" s="6">
        <v>42993</v>
      </c>
      <c r="H11" s="7">
        <v>971.87</v>
      </c>
      <c r="I11" s="36" t="s">
        <v>46</v>
      </c>
      <c r="J11" s="37"/>
      <c r="K11" s="8" t="s">
        <v>557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42997</v>
      </c>
      <c r="H12" s="7">
        <v>100</v>
      </c>
      <c r="I12" s="187" t="s">
        <v>327</v>
      </c>
      <c r="J12" s="188"/>
      <c r="K12" s="8" t="s">
        <v>544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>
        <v>42999</v>
      </c>
      <c r="H13" s="7">
        <v>1931.2</v>
      </c>
      <c r="I13" s="187" t="s">
        <v>670</v>
      </c>
      <c r="J13" s="188"/>
      <c r="K13" s="8" t="s">
        <v>669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43003</v>
      </c>
      <c r="H14" s="7">
        <v>3147</v>
      </c>
      <c r="I14" s="187" t="s">
        <v>673</v>
      </c>
      <c r="J14" s="188"/>
      <c r="K14" s="8" t="s">
        <v>674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43005</v>
      </c>
      <c r="H15" s="7">
        <v>2000</v>
      </c>
      <c r="I15" s="187"/>
      <c r="J15" s="188"/>
      <c r="K15" s="8" t="s">
        <v>2273</v>
      </c>
      <c r="L15" s="8" t="s">
        <v>267</v>
      </c>
    </row>
    <row r="16" spans="1:12" ht="15.75" x14ac:dyDescent="0.25">
      <c r="A16" s="2"/>
      <c r="B16" s="2"/>
      <c r="C16" s="1"/>
      <c r="D16" s="22"/>
      <c r="E16" s="4"/>
      <c r="G16" s="6">
        <v>43007</v>
      </c>
      <c r="H16" s="7">
        <v>300</v>
      </c>
      <c r="I16" s="187" t="s">
        <v>165</v>
      </c>
      <c r="J16" s="188"/>
      <c r="K16" s="8" t="s">
        <v>421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1879.52</v>
      </c>
      <c r="G17" s="6">
        <v>43007</v>
      </c>
      <c r="H17" s="7">
        <v>1500</v>
      </c>
      <c r="I17" s="187" t="s">
        <v>677</v>
      </c>
      <c r="J17" s="188"/>
      <c r="K17" s="8" t="s">
        <v>678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43013</v>
      </c>
      <c r="H18" s="7">
        <v>300</v>
      </c>
      <c r="I18" s="187" t="s">
        <v>579</v>
      </c>
      <c r="J18" s="188"/>
      <c r="K18" s="8" t="s">
        <v>679</v>
      </c>
      <c r="L18" s="8" t="s">
        <v>267</v>
      </c>
    </row>
    <row r="19" spans="1:12" ht="15.75" x14ac:dyDescent="0.25">
      <c r="A19" s="2" t="s">
        <v>57</v>
      </c>
      <c r="B19" s="3">
        <f>B11-E17</f>
        <v>5933.7670000000016</v>
      </c>
      <c r="C19" s="1"/>
      <c r="D19" s="2" t="s">
        <v>1</v>
      </c>
      <c r="E19" s="2" t="s">
        <v>6</v>
      </c>
      <c r="G19" s="6">
        <v>43013</v>
      </c>
      <c r="H19" s="7">
        <v>232.88</v>
      </c>
      <c r="I19" s="187" t="s">
        <v>46</v>
      </c>
      <c r="J19" s="188"/>
      <c r="K19" s="8" t="s">
        <v>680</v>
      </c>
      <c r="L19" s="8" t="s">
        <v>268</v>
      </c>
    </row>
    <row r="20" spans="1:12" ht="15.75" x14ac:dyDescent="0.25">
      <c r="A20" s="2" t="s">
        <v>12</v>
      </c>
      <c r="B20" s="3">
        <f>B11-E25</f>
        <v>7813.2870000000021</v>
      </c>
      <c r="C20" s="1"/>
      <c r="D20" s="5"/>
      <c r="E20" s="21"/>
      <c r="G20" s="6">
        <v>43013</v>
      </c>
      <c r="H20" s="7">
        <v>1600</v>
      </c>
      <c r="I20" s="187" t="s">
        <v>341</v>
      </c>
      <c r="J20" s="188"/>
      <c r="K20" s="8" t="s">
        <v>318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43014</v>
      </c>
      <c r="H21" s="7">
        <v>300</v>
      </c>
      <c r="I21" s="187" t="s">
        <v>682</v>
      </c>
      <c r="J21" s="188"/>
      <c r="K21" s="8" t="s">
        <v>834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43014</v>
      </c>
      <c r="H22" s="7">
        <v>1539</v>
      </c>
      <c r="I22" s="187" t="s">
        <v>165</v>
      </c>
      <c r="J22" s="188"/>
      <c r="K22" s="8" t="s">
        <v>488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43014</v>
      </c>
      <c r="H23" s="7">
        <v>150</v>
      </c>
      <c r="I23" s="187" t="s">
        <v>684</v>
      </c>
      <c r="J23" s="188"/>
      <c r="K23" s="8" t="s">
        <v>685</v>
      </c>
      <c r="L23" s="8" t="s">
        <v>267</v>
      </c>
    </row>
    <row r="24" spans="1:12" ht="15.75" x14ac:dyDescent="0.25">
      <c r="A24" s="196" t="s">
        <v>659</v>
      </c>
      <c r="B24" s="196"/>
      <c r="C24" s="1"/>
      <c r="D24" s="22"/>
      <c r="E24" s="21"/>
      <c r="F24" s="1"/>
      <c r="G24" s="6">
        <v>43017</v>
      </c>
      <c r="H24" s="7">
        <v>525</v>
      </c>
      <c r="I24" s="187" t="s">
        <v>46</v>
      </c>
      <c r="J24" s="188"/>
      <c r="K24" s="8" t="s">
        <v>687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43017</v>
      </c>
      <c r="H25" s="7">
        <v>500</v>
      </c>
      <c r="I25" s="187" t="s">
        <v>327</v>
      </c>
      <c r="J25" s="188"/>
      <c r="K25" s="8" t="s">
        <v>686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>
        <v>43018</v>
      </c>
      <c r="H26" s="7">
        <v>1500</v>
      </c>
      <c r="I26" s="187" t="s">
        <v>688</v>
      </c>
      <c r="J26" s="188"/>
      <c r="K26" s="8" t="s">
        <v>2215</v>
      </c>
      <c r="L26" s="8" t="s">
        <v>267</v>
      </c>
    </row>
    <row r="27" spans="1:12" ht="18.75" x14ac:dyDescent="0.3">
      <c r="A27" s="17"/>
      <c r="B27" s="17"/>
      <c r="C27" s="17"/>
      <c r="D27" s="178"/>
      <c r="E27" s="178"/>
      <c r="F27" s="9"/>
      <c r="G27" s="6" t="s">
        <v>23</v>
      </c>
      <c r="H27" s="193">
        <f>SUM(H3:H26)</f>
        <v>23547.750000000004</v>
      </c>
      <c r="I27" s="194"/>
      <c r="J27" s="194"/>
      <c r="K27" s="194"/>
      <c r="L27" s="195"/>
    </row>
    <row r="28" spans="1:12" ht="15.75" x14ac:dyDescent="0.25">
      <c r="A28" s="209"/>
      <c r="B28" s="209"/>
      <c r="C28" s="209"/>
      <c r="D28" s="209"/>
      <c r="E28" s="209"/>
      <c r="F28" s="209"/>
      <c r="G28" s="1"/>
      <c r="H28" s="1"/>
      <c r="I28" s="1"/>
      <c r="J28" s="1"/>
      <c r="K28" s="196" t="s">
        <v>659</v>
      </c>
      <c r="L28" s="196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69</v>
      </c>
      <c r="J29" s="180"/>
      <c r="K29" s="180" t="s">
        <v>69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G30" s="180"/>
      <c r="H30" s="180"/>
      <c r="I30" s="180" t="s">
        <v>65</v>
      </c>
      <c r="J30" s="180"/>
      <c r="K30" s="180" t="s">
        <v>67</v>
      </c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0"/>
      <c r="L31" s="180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x14ac:dyDescent="0.25">
      <c r="A33" s="180"/>
      <c r="B33" s="180"/>
      <c r="C33" s="180"/>
      <c r="D33" s="180"/>
      <c r="E33" s="180"/>
      <c r="F33" s="180"/>
      <c r="K33" s="18"/>
      <c r="L33" s="18"/>
    </row>
    <row r="34" spans="1:12" ht="18.75" x14ac:dyDescent="0.3">
      <c r="G34" s="184" t="s">
        <v>25</v>
      </c>
      <c r="H34" s="184"/>
      <c r="I34" s="184"/>
      <c r="J34" s="184"/>
      <c r="K34" s="180"/>
      <c r="L34" s="180"/>
    </row>
    <row r="35" spans="1:12" ht="15.75" x14ac:dyDescent="0.25">
      <c r="G35" s="2" t="s">
        <v>1</v>
      </c>
      <c r="H35" s="2" t="s">
        <v>6</v>
      </c>
      <c r="I35" s="182" t="s">
        <v>13</v>
      </c>
      <c r="J35" s="183"/>
      <c r="K35" s="180"/>
      <c r="L35" s="180"/>
    </row>
    <row r="36" spans="1:12" ht="15.75" x14ac:dyDescent="0.25">
      <c r="G36" s="6"/>
      <c r="H36" s="7">
        <v>750</v>
      </c>
      <c r="I36" s="182" t="s">
        <v>671</v>
      </c>
      <c r="J36" s="183"/>
      <c r="K36" s="18"/>
      <c r="L36" s="18"/>
    </row>
    <row r="37" spans="1:12" ht="15.75" x14ac:dyDescent="0.25">
      <c r="G37" s="6"/>
      <c r="H37" s="7">
        <v>10</v>
      </c>
      <c r="I37" s="182" t="s">
        <v>672</v>
      </c>
      <c r="J37" s="183"/>
      <c r="K37" s="18"/>
      <c r="L37" s="18"/>
    </row>
    <row r="38" spans="1:12" ht="15.75" x14ac:dyDescent="0.25">
      <c r="G38" s="6"/>
      <c r="H38" s="7">
        <v>149.26</v>
      </c>
      <c r="I38" s="182" t="s">
        <v>262</v>
      </c>
      <c r="J38" s="183"/>
      <c r="K38" s="180"/>
      <c r="L38" s="180"/>
    </row>
    <row r="39" spans="1:12" ht="15.75" x14ac:dyDescent="0.25">
      <c r="G39" s="6"/>
      <c r="H39" s="4">
        <v>900</v>
      </c>
      <c r="I39" s="182" t="s">
        <v>675</v>
      </c>
      <c r="J39" s="183"/>
      <c r="K39" s="180"/>
      <c r="L39" s="180"/>
    </row>
    <row r="40" spans="1:12" ht="15.75" x14ac:dyDescent="0.25">
      <c r="G40" s="6"/>
      <c r="H40" s="4">
        <v>300</v>
      </c>
      <c r="I40" s="182" t="s">
        <v>681</v>
      </c>
      <c r="J40" s="183"/>
    </row>
    <row r="41" spans="1:12" ht="15.75" x14ac:dyDescent="0.25">
      <c r="G41" s="6"/>
      <c r="H41" s="4">
        <v>937</v>
      </c>
      <c r="I41" s="182" t="s">
        <v>683</v>
      </c>
      <c r="J41" s="183"/>
    </row>
    <row r="42" spans="1:12" ht="15.75" x14ac:dyDescent="0.25">
      <c r="G42" s="6"/>
      <c r="H42" s="4">
        <v>700</v>
      </c>
      <c r="I42" s="182" t="s">
        <v>696</v>
      </c>
      <c r="J42" s="183"/>
    </row>
    <row r="43" spans="1:12" ht="15.75" x14ac:dyDescent="0.25">
      <c r="G43" s="6"/>
      <c r="H43" s="4">
        <v>1500</v>
      </c>
      <c r="I43" s="182" t="s">
        <v>173</v>
      </c>
      <c r="J43" s="183"/>
    </row>
    <row r="44" spans="1:12" ht="15.75" x14ac:dyDescent="0.25">
      <c r="G44" s="6"/>
      <c r="H44" s="4">
        <v>600</v>
      </c>
      <c r="I44" s="182" t="s">
        <v>697</v>
      </c>
      <c r="J44" s="183"/>
    </row>
    <row r="45" spans="1:12" ht="15.75" x14ac:dyDescent="0.25">
      <c r="G45" s="6"/>
      <c r="H45" s="4">
        <v>115.41</v>
      </c>
      <c r="I45" s="182" t="s">
        <v>698</v>
      </c>
      <c r="J45" s="183"/>
    </row>
    <row r="46" spans="1:12" ht="15.75" x14ac:dyDescent="0.25">
      <c r="G46" s="6"/>
      <c r="H46" s="35">
        <v>128.74</v>
      </c>
      <c r="I46" s="182" t="s">
        <v>699</v>
      </c>
      <c r="J46" s="183"/>
      <c r="K46" s="204" t="s">
        <v>660</v>
      </c>
      <c r="L46" s="205"/>
    </row>
    <row r="47" spans="1:12" ht="15.75" x14ac:dyDescent="0.25">
      <c r="G47" s="6"/>
      <c r="H47" s="35">
        <v>94.48</v>
      </c>
      <c r="I47" s="182" t="s">
        <v>272</v>
      </c>
      <c r="J47" s="183"/>
    </row>
    <row r="48" spans="1:12" ht="15.75" x14ac:dyDescent="0.25">
      <c r="G48" s="6"/>
      <c r="H48" s="35"/>
      <c r="I48" s="182"/>
      <c r="J48" s="183"/>
    </row>
    <row r="50" spans="7:12" x14ac:dyDescent="0.25">
      <c r="G50" s="180"/>
      <c r="H50" s="180"/>
      <c r="I50" s="180" t="s">
        <v>64</v>
      </c>
      <c r="J50" s="180"/>
      <c r="K50" s="180" t="s">
        <v>64</v>
      </c>
      <c r="L50" s="180"/>
    </row>
    <row r="51" spans="7:12" x14ac:dyDescent="0.25">
      <c r="G51" s="180"/>
      <c r="H51" s="180"/>
      <c r="I51" s="180" t="s">
        <v>65</v>
      </c>
      <c r="J51" s="180"/>
      <c r="K51" s="180" t="s">
        <v>67</v>
      </c>
      <c r="L51" s="180"/>
    </row>
  </sheetData>
  <mergeCells count="74">
    <mergeCell ref="A1:B1"/>
    <mergeCell ref="D1:E1"/>
    <mergeCell ref="G1:L1"/>
    <mergeCell ref="A2:B2"/>
    <mergeCell ref="D2:E2"/>
    <mergeCell ref="I2:J2"/>
    <mergeCell ref="I15:J15"/>
    <mergeCell ref="I3:J3"/>
    <mergeCell ref="I4:J4"/>
    <mergeCell ref="I7:J7"/>
    <mergeCell ref="I8:J8"/>
    <mergeCell ref="I10:J10"/>
    <mergeCell ref="I12:J12"/>
    <mergeCell ref="I13:J13"/>
    <mergeCell ref="I14:J14"/>
    <mergeCell ref="I9:J9"/>
    <mergeCell ref="I5:J5"/>
    <mergeCell ref="A24:B24"/>
    <mergeCell ref="A17:B17"/>
    <mergeCell ref="D18:E18"/>
    <mergeCell ref="A33:B33"/>
    <mergeCell ref="C33:D33"/>
    <mergeCell ref="E33:F33"/>
    <mergeCell ref="D27:E27"/>
    <mergeCell ref="A28:F30"/>
    <mergeCell ref="A32:B32"/>
    <mergeCell ref="C32:D32"/>
    <mergeCell ref="E32:F32"/>
    <mergeCell ref="K28:L28"/>
    <mergeCell ref="I16:J16"/>
    <mergeCell ref="I17:J17"/>
    <mergeCell ref="I18:J18"/>
    <mergeCell ref="I19:J19"/>
    <mergeCell ref="I20:J20"/>
    <mergeCell ref="I21:J21"/>
    <mergeCell ref="I26:J26"/>
    <mergeCell ref="H27:L27"/>
    <mergeCell ref="I23:J23"/>
    <mergeCell ref="I22:J22"/>
    <mergeCell ref="I25:J25"/>
    <mergeCell ref="I24:J24"/>
    <mergeCell ref="G29:H29"/>
    <mergeCell ref="I29:J29"/>
    <mergeCell ref="K29:L29"/>
    <mergeCell ref="G30:H30"/>
    <mergeCell ref="I30:J30"/>
    <mergeCell ref="K30:L30"/>
    <mergeCell ref="I40:J40"/>
    <mergeCell ref="K31:L31"/>
    <mergeCell ref="G34:J34"/>
    <mergeCell ref="K34:L34"/>
    <mergeCell ref="I35:J35"/>
    <mergeCell ref="K35:L35"/>
    <mergeCell ref="I36:J36"/>
    <mergeCell ref="I37:J37"/>
    <mergeCell ref="I38:J38"/>
    <mergeCell ref="K38:L38"/>
    <mergeCell ref="I39:J39"/>
    <mergeCell ref="K39:L39"/>
    <mergeCell ref="I41:J41"/>
    <mergeCell ref="I42:J42"/>
    <mergeCell ref="I43:J43"/>
    <mergeCell ref="I44:J44"/>
    <mergeCell ref="I45:J45"/>
    <mergeCell ref="G51:H51"/>
    <mergeCell ref="I51:J51"/>
    <mergeCell ref="K51:L51"/>
    <mergeCell ref="K46:L46"/>
    <mergeCell ref="I47:J47"/>
    <mergeCell ref="I48:J48"/>
    <mergeCell ref="G50:H50"/>
    <mergeCell ref="I50:J50"/>
    <mergeCell ref="K50:L50"/>
    <mergeCell ref="I46:J4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1:L53"/>
  <sheetViews>
    <sheetView topLeftCell="F5" workbookViewId="0">
      <selection activeCell="G8" sqref="G8:K8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689</v>
      </c>
      <c r="B1" s="184"/>
      <c r="C1" s="10"/>
      <c r="D1" s="199" t="s">
        <v>55</v>
      </c>
      <c r="E1" s="200"/>
      <c r="G1" s="184" t="s">
        <v>691</v>
      </c>
      <c r="H1" s="184"/>
      <c r="I1" s="184"/>
      <c r="J1" s="184"/>
      <c r="K1" s="184"/>
      <c r="L1" s="184"/>
    </row>
    <row r="2" spans="1:12" ht="18.75" x14ac:dyDescent="0.3">
      <c r="A2" s="184" t="s">
        <v>690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H29</f>
        <v>18183.18</v>
      </c>
      <c r="C3" s="11"/>
      <c r="D3" s="5"/>
      <c r="E3" s="4">
        <v>197.88</v>
      </c>
      <c r="F3" s="42" t="s">
        <v>694</v>
      </c>
      <c r="G3" s="6">
        <v>43021</v>
      </c>
      <c r="H3" s="7">
        <v>900</v>
      </c>
      <c r="I3" s="187" t="s">
        <v>692</v>
      </c>
      <c r="J3" s="188"/>
      <c r="K3" s="8" t="s">
        <v>693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>
        <v>31.66</v>
      </c>
      <c r="F4" t="s">
        <v>695</v>
      </c>
      <c r="G4" s="6">
        <v>43024</v>
      </c>
      <c r="H4" s="7">
        <v>971.87</v>
      </c>
      <c r="I4" s="187" t="s">
        <v>46</v>
      </c>
      <c r="J4" s="188"/>
      <c r="K4" s="8" t="s">
        <v>557</v>
      </c>
      <c r="L4" s="8" t="s">
        <v>268</v>
      </c>
    </row>
    <row r="5" spans="1:12" ht="15.75" x14ac:dyDescent="0.25">
      <c r="A5" s="2" t="s">
        <v>4</v>
      </c>
      <c r="B5" s="3">
        <f>SUM(H38:H50)</f>
        <v>290</v>
      </c>
      <c r="C5" s="11"/>
      <c r="D5" s="5"/>
      <c r="E5" s="4">
        <v>300</v>
      </c>
      <c r="F5" t="s">
        <v>702</v>
      </c>
      <c r="G5" s="6">
        <v>43026</v>
      </c>
      <c r="H5" s="7">
        <v>300</v>
      </c>
      <c r="I5" s="187" t="s">
        <v>700</v>
      </c>
      <c r="J5" s="188"/>
      <c r="K5" s="8" t="s">
        <v>2270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43031</v>
      </c>
      <c r="H6" s="7">
        <v>375</v>
      </c>
      <c r="I6" s="187"/>
      <c r="J6" s="188"/>
      <c r="K6" s="8"/>
      <c r="L6" s="8"/>
    </row>
    <row r="7" spans="1:12" ht="15.75" x14ac:dyDescent="0.25">
      <c r="A7" s="12" t="s">
        <v>5</v>
      </c>
      <c r="B7" s="25">
        <f>B3+B4-B5</f>
        <v>17893.18</v>
      </c>
      <c r="C7" s="11"/>
      <c r="D7" s="22"/>
      <c r="E7" s="4"/>
      <c r="G7" s="6">
        <v>43032</v>
      </c>
      <c r="H7" s="7">
        <v>481.05</v>
      </c>
      <c r="I7" s="187" t="s">
        <v>682</v>
      </c>
      <c r="J7" s="188"/>
      <c r="K7" s="8" t="s">
        <v>617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43032</v>
      </c>
      <c r="H8" s="7">
        <v>5000</v>
      </c>
      <c r="I8" s="187" t="s">
        <v>701</v>
      </c>
      <c r="J8" s="188"/>
      <c r="K8" s="8" t="s">
        <v>2215</v>
      </c>
      <c r="L8" s="8" t="s">
        <v>267</v>
      </c>
    </row>
    <row r="9" spans="1:12" ht="15.75" x14ac:dyDescent="0.25">
      <c r="A9" s="2" t="s">
        <v>14</v>
      </c>
      <c r="B9" s="3">
        <f>B7*0.1</f>
        <v>1789.3180000000002</v>
      </c>
      <c r="C9" s="11"/>
      <c r="D9" s="44"/>
      <c r="E9" s="4"/>
      <c r="G9" s="6">
        <v>43032</v>
      </c>
      <c r="H9" s="7">
        <v>900</v>
      </c>
      <c r="I9" s="187" t="s">
        <v>703</v>
      </c>
      <c r="J9" s="188"/>
      <c r="K9" s="8" t="s">
        <v>446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/>
      <c r="H10" s="7"/>
      <c r="I10" s="187"/>
      <c r="J10" s="188"/>
      <c r="K10" s="8"/>
      <c r="L10" s="8"/>
    </row>
    <row r="11" spans="1:12" ht="15.75" x14ac:dyDescent="0.25">
      <c r="A11" s="2" t="s">
        <v>59</v>
      </c>
      <c r="B11" s="3">
        <f>(B7-B9)/2</f>
        <v>8051.9310000000005</v>
      </c>
      <c r="C11" s="11"/>
      <c r="D11" s="2"/>
      <c r="E11" s="4"/>
      <c r="F11" s="42"/>
      <c r="G11" s="6">
        <v>43035</v>
      </c>
      <c r="H11" s="7">
        <v>1000</v>
      </c>
      <c r="I11" s="187" t="s">
        <v>704</v>
      </c>
      <c r="J11" s="188"/>
      <c r="K11" s="8" t="s">
        <v>705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43035</v>
      </c>
      <c r="H12" s="7">
        <v>150</v>
      </c>
      <c r="I12" s="187" t="s">
        <v>706</v>
      </c>
      <c r="J12" s="188"/>
      <c r="K12" s="8" t="s">
        <v>685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/>
      <c r="H13" s="7">
        <v>400</v>
      </c>
      <c r="I13" s="187" t="s">
        <v>165</v>
      </c>
      <c r="J13" s="188"/>
      <c r="K13" s="8" t="s">
        <v>570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/>
      <c r="H14" s="7">
        <v>100</v>
      </c>
      <c r="I14" s="187" t="s">
        <v>706</v>
      </c>
      <c r="J14" s="188"/>
      <c r="K14" s="8" t="s">
        <v>707</v>
      </c>
      <c r="L14" s="8"/>
    </row>
    <row r="15" spans="1:12" ht="15.75" x14ac:dyDescent="0.25">
      <c r="A15" s="2"/>
      <c r="B15" s="3"/>
      <c r="C15" s="11"/>
      <c r="D15" s="22"/>
      <c r="E15" s="4"/>
      <c r="G15" s="6">
        <v>43039</v>
      </c>
      <c r="H15" s="7">
        <v>1791.53</v>
      </c>
      <c r="I15" s="187" t="s">
        <v>46</v>
      </c>
      <c r="J15" s="188"/>
      <c r="K15" s="8" t="s">
        <v>715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43041</v>
      </c>
      <c r="H16" s="7">
        <v>1681.78</v>
      </c>
      <c r="I16" s="187" t="s">
        <v>46</v>
      </c>
      <c r="J16" s="188"/>
      <c r="K16" s="8" t="s">
        <v>716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529.54</v>
      </c>
      <c r="G17" s="6">
        <v>43041</v>
      </c>
      <c r="H17" s="7">
        <v>1477.39</v>
      </c>
      <c r="I17" s="187" t="s">
        <v>46</v>
      </c>
      <c r="J17" s="188"/>
      <c r="K17" s="8" t="s">
        <v>717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43041</v>
      </c>
      <c r="H18" s="7">
        <v>1729.56</v>
      </c>
      <c r="I18" s="187" t="s">
        <v>46</v>
      </c>
      <c r="J18" s="188"/>
      <c r="K18" s="8" t="s">
        <v>718</v>
      </c>
      <c r="L18" s="8" t="s">
        <v>268</v>
      </c>
    </row>
    <row r="19" spans="1:12" ht="15.75" x14ac:dyDescent="0.25">
      <c r="A19" s="2" t="s">
        <v>57</v>
      </c>
      <c r="B19" s="3">
        <f>B11-E17</f>
        <v>7522.3910000000005</v>
      </c>
      <c r="C19" s="1"/>
      <c r="D19" s="2" t="s">
        <v>1</v>
      </c>
      <c r="E19" s="2" t="s">
        <v>6</v>
      </c>
      <c r="G19" s="6">
        <v>43049</v>
      </c>
      <c r="H19" s="7">
        <v>525</v>
      </c>
      <c r="I19" s="187" t="s">
        <v>46</v>
      </c>
      <c r="J19" s="188"/>
      <c r="K19" s="8" t="s">
        <v>687</v>
      </c>
      <c r="L19" s="8" t="s">
        <v>268</v>
      </c>
    </row>
    <row r="20" spans="1:12" ht="15.75" x14ac:dyDescent="0.25">
      <c r="A20" s="2" t="s">
        <v>12</v>
      </c>
      <c r="B20" s="3">
        <f>B11-E25</f>
        <v>8051.9310000000005</v>
      </c>
      <c r="C20" s="1"/>
      <c r="D20" s="5"/>
      <c r="E20" s="21"/>
      <c r="G20" s="6">
        <v>43049</v>
      </c>
      <c r="H20" s="7">
        <v>400</v>
      </c>
      <c r="I20" s="187"/>
      <c r="J20" s="188"/>
      <c r="K20" s="8" t="s">
        <v>570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659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/>
      <c r="H26" s="7"/>
      <c r="I26" s="187"/>
      <c r="J26" s="188"/>
      <c r="K26" s="8"/>
      <c r="L26" s="8"/>
    </row>
    <row r="27" spans="1:12" ht="18.75" x14ac:dyDescent="0.3">
      <c r="A27" s="17"/>
      <c r="B27" s="17"/>
      <c r="C27" s="17"/>
      <c r="D27" s="178"/>
      <c r="E27" s="178"/>
      <c r="F27" s="9"/>
      <c r="G27" s="6"/>
      <c r="H27" s="7"/>
      <c r="I27" s="187"/>
      <c r="J27" s="188"/>
      <c r="K27" s="8"/>
      <c r="L27" s="8"/>
    </row>
    <row r="28" spans="1:12" ht="15.75" x14ac:dyDescent="0.25">
      <c r="A28" s="209"/>
      <c r="B28" s="209"/>
      <c r="C28" s="209"/>
      <c r="D28" s="209"/>
      <c r="E28" s="209"/>
      <c r="F28" s="209"/>
      <c r="G28" s="6"/>
      <c r="H28" s="7"/>
      <c r="I28" s="187"/>
      <c r="J28" s="188"/>
      <c r="K28" s="8"/>
      <c r="L28" s="8"/>
    </row>
    <row r="29" spans="1:12" ht="15.75" x14ac:dyDescent="0.25">
      <c r="A29" s="209"/>
      <c r="B29" s="209"/>
      <c r="C29" s="209"/>
      <c r="D29" s="209"/>
      <c r="E29" s="209"/>
      <c r="F29" s="209"/>
      <c r="G29" s="6" t="s">
        <v>23</v>
      </c>
      <c r="H29" s="193">
        <f>SUM(H3:H28)</f>
        <v>18183.18</v>
      </c>
      <c r="I29" s="194"/>
      <c r="J29" s="194"/>
      <c r="K29" s="194"/>
      <c r="L29" s="195"/>
    </row>
    <row r="30" spans="1:12" ht="15.75" x14ac:dyDescent="0.25">
      <c r="A30" s="209"/>
      <c r="B30" s="209"/>
      <c r="C30" s="209"/>
      <c r="D30" s="209"/>
      <c r="E30" s="209"/>
      <c r="F30" s="209"/>
      <c r="G30" s="1"/>
      <c r="H30" s="1"/>
      <c r="I30" s="1"/>
      <c r="J30" s="1"/>
      <c r="K30" s="196" t="s">
        <v>659</v>
      </c>
      <c r="L30" s="196"/>
    </row>
    <row r="31" spans="1:12" ht="15.75" x14ac:dyDescent="0.25">
      <c r="A31" s="17"/>
      <c r="B31" s="29"/>
      <c r="C31" s="29"/>
      <c r="D31" s="29"/>
      <c r="E31" s="20"/>
      <c r="F31" s="1"/>
      <c r="G31" s="180"/>
      <c r="H31" s="180"/>
      <c r="I31" s="180" t="s">
        <v>69</v>
      </c>
      <c r="J31" s="180"/>
      <c r="K31" s="180" t="s">
        <v>69</v>
      </c>
      <c r="L31" s="180"/>
    </row>
    <row r="32" spans="1:12" ht="15.75" x14ac:dyDescent="0.25">
      <c r="A32" s="178"/>
      <c r="B32" s="178"/>
      <c r="C32" s="178"/>
      <c r="D32" s="178"/>
      <c r="E32" s="178"/>
      <c r="F32" s="178"/>
      <c r="G32" s="180"/>
      <c r="H32" s="180"/>
      <c r="I32" s="180" t="s">
        <v>65</v>
      </c>
      <c r="J32" s="180"/>
      <c r="K32" s="180" t="s">
        <v>67</v>
      </c>
      <c r="L32" s="180"/>
    </row>
    <row r="33" spans="1:12" x14ac:dyDescent="0.25">
      <c r="A33" s="180"/>
      <c r="B33" s="180"/>
      <c r="C33" s="180"/>
      <c r="D33" s="180"/>
      <c r="E33" s="180"/>
      <c r="F33" s="180"/>
      <c r="K33" s="180"/>
      <c r="L33" s="180"/>
    </row>
    <row r="34" spans="1:12" x14ac:dyDescent="0.25">
      <c r="K34" s="18"/>
      <c r="L34" s="18"/>
    </row>
    <row r="35" spans="1:12" x14ac:dyDescent="0.25">
      <c r="K35" s="18"/>
      <c r="L35" s="18"/>
    </row>
    <row r="36" spans="1:12" ht="18.75" x14ac:dyDescent="0.3">
      <c r="G36" s="184" t="s">
        <v>25</v>
      </c>
      <c r="H36" s="184"/>
      <c r="I36" s="184"/>
      <c r="J36" s="184"/>
      <c r="K36" s="180"/>
      <c r="L36" s="180"/>
    </row>
    <row r="37" spans="1:12" ht="15.75" x14ac:dyDescent="0.25">
      <c r="G37" s="2" t="s">
        <v>1</v>
      </c>
      <c r="H37" s="2" t="s">
        <v>6</v>
      </c>
      <c r="I37" s="182" t="s">
        <v>13</v>
      </c>
      <c r="J37" s="183"/>
      <c r="K37" s="180"/>
      <c r="L37" s="180"/>
    </row>
    <row r="38" spans="1:12" ht="15.75" x14ac:dyDescent="0.25">
      <c r="G38" s="6">
        <v>43056</v>
      </c>
      <c r="H38" s="7">
        <v>180</v>
      </c>
      <c r="I38" s="182" t="s">
        <v>713</v>
      </c>
      <c r="J38" s="183"/>
      <c r="K38" s="18"/>
      <c r="L38" s="18"/>
    </row>
    <row r="39" spans="1:12" ht="15.75" x14ac:dyDescent="0.25">
      <c r="G39" s="6">
        <v>43055</v>
      </c>
      <c r="H39" s="7">
        <v>110</v>
      </c>
      <c r="I39" s="182" t="s">
        <v>712</v>
      </c>
      <c r="J39" s="183"/>
      <c r="K39" s="18"/>
      <c r="L39" s="18"/>
    </row>
    <row r="40" spans="1:12" ht="15.75" x14ac:dyDescent="0.25">
      <c r="G40" s="6"/>
      <c r="H40" s="7"/>
      <c r="I40" s="182"/>
      <c r="J40" s="183"/>
      <c r="K40" s="180"/>
      <c r="L40" s="180"/>
    </row>
    <row r="41" spans="1:12" ht="15.75" x14ac:dyDescent="0.25">
      <c r="G41" s="6"/>
      <c r="H41" s="4"/>
      <c r="I41" s="182"/>
      <c r="J41" s="183"/>
      <c r="K41" s="180"/>
      <c r="L41" s="180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4"/>
      <c r="I45" s="182"/>
      <c r="J45" s="183"/>
    </row>
    <row r="46" spans="1:12" ht="15.75" x14ac:dyDescent="0.25">
      <c r="G46" s="6"/>
      <c r="H46" s="4"/>
      <c r="I46" s="182"/>
      <c r="J46" s="183"/>
    </row>
    <row r="47" spans="1:12" ht="15.75" x14ac:dyDescent="0.25">
      <c r="G47" s="6"/>
      <c r="H47" s="4"/>
      <c r="I47" s="182"/>
      <c r="J47" s="183"/>
    </row>
    <row r="48" spans="1:12" ht="15.75" x14ac:dyDescent="0.25">
      <c r="G48" s="6"/>
      <c r="H48" s="35"/>
      <c r="I48" s="182"/>
      <c r="J48" s="183"/>
      <c r="K48" s="204" t="s">
        <v>660</v>
      </c>
      <c r="L48" s="205"/>
    </row>
    <row r="49" spans="7:12" ht="15.75" x14ac:dyDescent="0.25">
      <c r="G49" s="6"/>
      <c r="H49" s="35"/>
      <c r="I49" s="182"/>
      <c r="J49" s="183"/>
    </row>
    <row r="50" spans="7:12" ht="15.75" x14ac:dyDescent="0.25">
      <c r="G50" s="6"/>
      <c r="H50" s="35"/>
      <c r="I50" s="182"/>
      <c r="J50" s="183"/>
    </row>
    <row r="52" spans="7:12" x14ac:dyDescent="0.25">
      <c r="G52" s="180"/>
      <c r="H52" s="180"/>
      <c r="I52" s="180" t="s">
        <v>64</v>
      </c>
      <c r="J52" s="180"/>
      <c r="K52" s="180" t="s">
        <v>64</v>
      </c>
      <c r="L52" s="180"/>
    </row>
    <row r="53" spans="7:12" x14ac:dyDescent="0.25">
      <c r="G53" s="180"/>
      <c r="H53" s="180"/>
      <c r="I53" s="180" t="s">
        <v>65</v>
      </c>
      <c r="J53" s="180"/>
      <c r="K53" s="180" t="s">
        <v>67</v>
      </c>
      <c r="L53" s="180"/>
    </row>
  </sheetData>
  <mergeCells count="78">
    <mergeCell ref="I3:J3"/>
    <mergeCell ref="I4:J4"/>
    <mergeCell ref="I5:J5"/>
    <mergeCell ref="I8:J8"/>
    <mergeCell ref="I9:J9"/>
    <mergeCell ref="I7:J7"/>
    <mergeCell ref="I6:J6"/>
    <mergeCell ref="A1:B1"/>
    <mergeCell ref="D1:E1"/>
    <mergeCell ref="G1:L1"/>
    <mergeCell ref="A2:B2"/>
    <mergeCell ref="D2:E2"/>
    <mergeCell ref="I2:J2"/>
    <mergeCell ref="A24:B24"/>
    <mergeCell ref="I16:J16"/>
    <mergeCell ref="I17:J17"/>
    <mergeCell ref="I18:J18"/>
    <mergeCell ref="A17:B17"/>
    <mergeCell ref="I19:J19"/>
    <mergeCell ref="D18:E18"/>
    <mergeCell ref="I20:J20"/>
    <mergeCell ref="I21:J21"/>
    <mergeCell ref="I22:J22"/>
    <mergeCell ref="I23:J23"/>
    <mergeCell ref="I24:J24"/>
    <mergeCell ref="K36:L36"/>
    <mergeCell ref="I37:J37"/>
    <mergeCell ref="K37:L37"/>
    <mergeCell ref="I32:J32"/>
    <mergeCell ref="K32:L32"/>
    <mergeCell ref="K33:L33"/>
    <mergeCell ref="A32:B32"/>
    <mergeCell ref="C32:D32"/>
    <mergeCell ref="E32:F32"/>
    <mergeCell ref="I27:J27"/>
    <mergeCell ref="I28:J28"/>
    <mergeCell ref="D27:E27"/>
    <mergeCell ref="H29:L29"/>
    <mergeCell ref="A28:F30"/>
    <mergeCell ref="K30:L30"/>
    <mergeCell ref="G31:H31"/>
    <mergeCell ref="I31:J31"/>
    <mergeCell ref="K31:L31"/>
    <mergeCell ref="G32:H32"/>
    <mergeCell ref="A33:B33"/>
    <mergeCell ref="C33:D33"/>
    <mergeCell ref="E33:F33"/>
    <mergeCell ref="G36:J36"/>
    <mergeCell ref="I41:J41"/>
    <mergeCell ref="G53:H53"/>
    <mergeCell ref="I53:J53"/>
    <mergeCell ref="K53:L53"/>
    <mergeCell ref="I48:J48"/>
    <mergeCell ref="K48:L48"/>
    <mergeCell ref="I49:J49"/>
    <mergeCell ref="I50:J50"/>
    <mergeCell ref="G52:H52"/>
    <mergeCell ref="I52:J52"/>
    <mergeCell ref="K52:L52"/>
    <mergeCell ref="K40:L40"/>
    <mergeCell ref="K41:L41"/>
    <mergeCell ref="I42:J42"/>
    <mergeCell ref="I43:J43"/>
    <mergeCell ref="I44:J44"/>
    <mergeCell ref="I10:J10"/>
    <mergeCell ref="I47:J47"/>
    <mergeCell ref="I38:J38"/>
    <mergeCell ref="I39:J39"/>
    <mergeCell ref="I40:J40"/>
    <mergeCell ref="I13:J13"/>
    <mergeCell ref="I45:J45"/>
    <mergeCell ref="I46:J46"/>
    <mergeCell ref="I25:J25"/>
    <mergeCell ref="I26:J26"/>
    <mergeCell ref="I15:J15"/>
    <mergeCell ref="I11:J11"/>
    <mergeCell ref="I12:J12"/>
    <mergeCell ref="I14:J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1:L56"/>
  <sheetViews>
    <sheetView topLeftCell="B13" workbookViewId="0">
      <selection activeCell="G3" sqref="G3:K3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328</v>
      </c>
      <c r="B1" s="184"/>
      <c r="C1" s="10"/>
      <c r="D1" s="199" t="s">
        <v>55</v>
      </c>
      <c r="E1" s="200"/>
      <c r="G1" s="184" t="s">
        <v>714</v>
      </c>
      <c r="H1" s="184"/>
      <c r="I1" s="184"/>
      <c r="J1" s="184"/>
      <c r="K1" s="184"/>
      <c r="L1" s="184"/>
    </row>
    <row r="2" spans="1:12" ht="18.75" x14ac:dyDescent="0.3">
      <c r="A2" s="184" t="s">
        <v>739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H32</f>
        <v>19941.05</v>
      </c>
      <c r="C3" s="11"/>
      <c r="D3" s="5"/>
      <c r="E3" s="4">
        <v>31.66</v>
      </c>
      <c r="F3" t="s">
        <v>740</v>
      </c>
      <c r="G3" s="6">
        <v>43052</v>
      </c>
      <c r="H3" s="7">
        <v>1500</v>
      </c>
      <c r="I3" s="187" t="s">
        <v>719</v>
      </c>
      <c r="J3" s="188"/>
      <c r="K3" s="8" t="s">
        <v>2217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43055</v>
      </c>
      <c r="H4" s="7">
        <v>1000</v>
      </c>
      <c r="I4" s="187"/>
      <c r="J4" s="188"/>
      <c r="K4" s="8" t="s">
        <v>709</v>
      </c>
      <c r="L4" s="8" t="s">
        <v>267</v>
      </c>
    </row>
    <row r="5" spans="1:12" ht="15.75" x14ac:dyDescent="0.25">
      <c r="A5" s="2" t="s">
        <v>4</v>
      </c>
      <c r="B5" s="3">
        <f>SUM(H41:H53)</f>
        <v>0</v>
      </c>
      <c r="C5" s="11"/>
      <c r="D5" s="5"/>
      <c r="E5" s="4"/>
      <c r="G5" s="6">
        <v>43055</v>
      </c>
      <c r="H5" s="7">
        <v>971.88</v>
      </c>
      <c r="I5" s="187" t="s">
        <v>46</v>
      </c>
      <c r="J5" s="188"/>
      <c r="K5" s="8" t="s">
        <v>557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43055</v>
      </c>
      <c r="H6" s="7">
        <v>300</v>
      </c>
      <c r="I6" s="187" t="s">
        <v>711</v>
      </c>
      <c r="J6" s="188"/>
      <c r="K6" s="8" t="s">
        <v>710</v>
      </c>
      <c r="L6" s="8" t="s">
        <v>267</v>
      </c>
    </row>
    <row r="7" spans="1:12" ht="15.75" x14ac:dyDescent="0.25">
      <c r="A7" s="12" t="s">
        <v>5</v>
      </c>
      <c r="B7" s="25">
        <f>B3+B4-B5</f>
        <v>19941.05</v>
      </c>
      <c r="C7" s="11"/>
      <c r="D7" s="22"/>
      <c r="E7" s="4"/>
      <c r="G7" s="6">
        <v>43056</v>
      </c>
      <c r="H7" s="7">
        <v>1000</v>
      </c>
      <c r="I7" s="187"/>
      <c r="J7" s="188"/>
      <c r="K7" s="8" t="s">
        <v>708</v>
      </c>
      <c r="L7" s="8" t="s">
        <v>267</v>
      </c>
    </row>
    <row r="8" spans="1:12" ht="15.75" x14ac:dyDescent="0.25">
      <c r="A8" s="2"/>
      <c r="B8" s="3"/>
      <c r="C8" s="11"/>
      <c r="D8" s="22"/>
      <c r="E8" s="4"/>
      <c r="G8" s="6">
        <v>43056</v>
      </c>
      <c r="H8" s="7">
        <v>300</v>
      </c>
      <c r="I8" s="187" t="s">
        <v>700</v>
      </c>
      <c r="J8" s="188"/>
      <c r="K8" s="8" t="s">
        <v>2270</v>
      </c>
      <c r="L8" s="8" t="s">
        <v>267</v>
      </c>
    </row>
    <row r="9" spans="1:12" ht="15.75" x14ac:dyDescent="0.25">
      <c r="A9" s="2" t="s">
        <v>14</v>
      </c>
      <c r="B9" s="3">
        <f>B7*0.1</f>
        <v>1994.105</v>
      </c>
      <c r="C9" s="11"/>
      <c r="D9" s="44"/>
      <c r="E9" s="4"/>
      <c r="G9" s="6">
        <v>43059</v>
      </c>
      <c r="H9" s="7">
        <v>450</v>
      </c>
      <c r="I9" s="187" t="s">
        <v>46</v>
      </c>
      <c r="J9" s="188"/>
      <c r="K9" s="8" t="s">
        <v>720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43060</v>
      </c>
      <c r="H10" s="7">
        <v>1000</v>
      </c>
      <c r="I10" s="187"/>
      <c r="J10" s="188"/>
      <c r="K10" s="8" t="s">
        <v>721</v>
      </c>
      <c r="L10" s="8" t="s">
        <v>267</v>
      </c>
    </row>
    <row r="11" spans="1:12" ht="15.75" x14ac:dyDescent="0.25">
      <c r="A11" s="2" t="s">
        <v>59</v>
      </c>
      <c r="B11" s="3">
        <f>(B7-B9)/2</f>
        <v>8973.4724999999999</v>
      </c>
      <c r="C11" s="11"/>
      <c r="D11" s="2"/>
      <c r="E11" s="4"/>
      <c r="F11" s="42"/>
      <c r="G11" s="6">
        <v>43061</v>
      </c>
      <c r="H11" s="7">
        <v>5544.17</v>
      </c>
      <c r="I11" s="187" t="s">
        <v>733</v>
      </c>
      <c r="J11" s="188"/>
      <c r="K11" s="8" t="s">
        <v>425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43061</v>
      </c>
      <c r="H12" s="7">
        <v>500</v>
      </c>
      <c r="I12" s="187" t="s">
        <v>731</v>
      </c>
      <c r="J12" s="188"/>
      <c r="K12" s="8" t="s">
        <v>772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43061</v>
      </c>
      <c r="H13" s="7">
        <v>1350</v>
      </c>
      <c r="I13" s="187"/>
      <c r="J13" s="188"/>
      <c r="K13" s="8" t="s">
        <v>2234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>
        <v>43062</v>
      </c>
      <c r="H14" s="7">
        <v>375</v>
      </c>
      <c r="I14" s="36"/>
      <c r="J14" s="37"/>
      <c r="K14" s="8"/>
      <c r="L14" s="8"/>
    </row>
    <row r="15" spans="1:12" ht="15.75" x14ac:dyDescent="0.25">
      <c r="A15" s="2"/>
      <c r="B15" s="3"/>
      <c r="C15" s="11"/>
      <c r="D15" s="22"/>
      <c r="E15" s="4"/>
      <c r="G15" s="6">
        <v>43069</v>
      </c>
      <c r="H15" s="7">
        <v>3000</v>
      </c>
      <c r="I15" s="36" t="s">
        <v>46</v>
      </c>
      <c r="J15" s="37"/>
      <c r="K15" s="8" t="s">
        <v>722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43073</v>
      </c>
      <c r="H16" s="7">
        <v>800</v>
      </c>
      <c r="I16" s="36"/>
      <c r="J16" s="37"/>
      <c r="K16" s="8" t="s">
        <v>708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31.66</v>
      </c>
      <c r="G17" s="6">
        <v>43074</v>
      </c>
      <c r="H17" s="7">
        <v>1500</v>
      </c>
      <c r="I17" s="36" t="s">
        <v>46</v>
      </c>
      <c r="J17" s="37"/>
      <c r="K17" s="8" t="s">
        <v>723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43075</v>
      </c>
      <c r="H18" s="7">
        <v>250</v>
      </c>
      <c r="I18" s="36" t="s">
        <v>724</v>
      </c>
      <c r="J18" s="37"/>
      <c r="K18" s="8" t="s">
        <v>326</v>
      </c>
      <c r="L18" s="8" t="s">
        <v>268</v>
      </c>
    </row>
    <row r="19" spans="1:12" ht="15.75" x14ac:dyDescent="0.25">
      <c r="A19" s="2" t="s">
        <v>57</v>
      </c>
      <c r="B19" s="3">
        <f>B11-E17</f>
        <v>8941.8125</v>
      </c>
      <c r="C19" s="1"/>
      <c r="D19" s="2" t="s">
        <v>1</v>
      </c>
      <c r="E19" s="2" t="s">
        <v>6</v>
      </c>
      <c r="G19" s="6">
        <v>43075</v>
      </c>
      <c r="H19" s="7">
        <v>100</v>
      </c>
      <c r="I19" s="36" t="s">
        <v>46</v>
      </c>
      <c r="J19" s="37"/>
      <c r="K19" s="8" t="s">
        <v>726</v>
      </c>
      <c r="L19" s="8" t="s">
        <v>268</v>
      </c>
    </row>
    <row r="20" spans="1:12" ht="15.75" x14ac:dyDescent="0.25">
      <c r="A20" s="2" t="s">
        <v>12</v>
      </c>
      <c r="B20" s="3">
        <f>B11-E25</f>
        <v>8973.4724999999999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659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/>
      <c r="H26" s="7"/>
      <c r="I26" s="187"/>
      <c r="J26" s="188"/>
      <c r="K26" s="8"/>
      <c r="L26" s="8"/>
    </row>
    <row r="27" spans="1:12" ht="18.75" x14ac:dyDescent="0.3">
      <c r="A27" s="17"/>
      <c r="B27" s="17"/>
      <c r="C27" s="17"/>
      <c r="D27" s="178"/>
      <c r="E27" s="178"/>
      <c r="F27" s="9"/>
      <c r="G27" s="6"/>
      <c r="H27" s="7"/>
      <c r="I27" s="187"/>
      <c r="J27" s="188"/>
      <c r="K27" s="8"/>
      <c r="L27" s="8"/>
    </row>
    <row r="28" spans="1:12" ht="15.75" x14ac:dyDescent="0.25">
      <c r="A28" s="209"/>
      <c r="B28" s="209"/>
      <c r="C28" s="209"/>
      <c r="D28" s="209"/>
      <c r="E28" s="209"/>
      <c r="F28" s="209"/>
      <c r="G28" s="6"/>
      <c r="H28" s="7"/>
      <c r="I28" s="187"/>
      <c r="J28" s="188"/>
      <c r="K28" s="8"/>
      <c r="L28" s="8"/>
    </row>
    <row r="29" spans="1:12" ht="15" customHeight="1" x14ac:dyDescent="0.25">
      <c r="A29" s="209"/>
      <c r="B29" s="209"/>
      <c r="C29" s="209"/>
      <c r="D29" s="209"/>
      <c r="E29" s="209"/>
      <c r="F29" s="209"/>
      <c r="G29" s="6"/>
      <c r="H29" s="7"/>
      <c r="I29" s="187"/>
      <c r="J29" s="188"/>
      <c r="K29" s="8"/>
      <c r="L29" s="8"/>
    </row>
    <row r="30" spans="1:12" ht="15" customHeight="1" x14ac:dyDescent="0.25">
      <c r="A30" s="209"/>
      <c r="B30" s="209"/>
      <c r="C30" s="209"/>
      <c r="D30" s="209"/>
      <c r="E30" s="209"/>
      <c r="F30" s="209"/>
      <c r="G30" s="6"/>
      <c r="H30" s="7"/>
      <c r="I30" s="187"/>
      <c r="J30" s="188"/>
      <c r="K30" s="8"/>
      <c r="L30" s="8"/>
    </row>
    <row r="31" spans="1:12" ht="15.75" x14ac:dyDescent="0.25">
      <c r="A31" s="17"/>
      <c r="B31" s="29"/>
      <c r="C31" s="29"/>
      <c r="D31" s="29"/>
      <c r="E31" s="20"/>
      <c r="F31" s="1"/>
      <c r="G31" s="6"/>
      <c r="H31" s="7"/>
      <c r="I31" s="187"/>
      <c r="J31" s="188"/>
      <c r="K31" s="8"/>
      <c r="L31" s="8"/>
    </row>
    <row r="32" spans="1:12" ht="15.75" x14ac:dyDescent="0.25">
      <c r="A32" s="178"/>
      <c r="B32" s="178"/>
      <c r="C32" s="178"/>
      <c r="D32" s="178"/>
      <c r="E32" s="178"/>
      <c r="F32" s="178"/>
      <c r="G32" s="6" t="s">
        <v>23</v>
      </c>
      <c r="H32" s="193">
        <f>SUM(H3:H31)</f>
        <v>19941.05</v>
      </c>
      <c r="I32" s="194"/>
      <c r="J32" s="194"/>
      <c r="K32" s="194"/>
      <c r="L32" s="195"/>
    </row>
    <row r="33" spans="1:12" ht="15.75" x14ac:dyDescent="0.25">
      <c r="A33" s="180"/>
      <c r="B33" s="180"/>
      <c r="C33" s="180"/>
      <c r="D33" s="180"/>
      <c r="E33" s="180"/>
      <c r="F33" s="180"/>
      <c r="G33" s="1"/>
      <c r="H33" s="1"/>
      <c r="I33" s="1"/>
      <c r="J33" s="1"/>
      <c r="K33" s="196" t="s">
        <v>659</v>
      </c>
      <c r="L33" s="196"/>
    </row>
    <row r="34" spans="1:12" x14ac:dyDescent="0.25">
      <c r="G34" s="180"/>
      <c r="H34" s="180"/>
      <c r="I34" s="180" t="s">
        <v>69</v>
      </c>
      <c r="J34" s="180"/>
      <c r="K34" s="180" t="s">
        <v>69</v>
      </c>
      <c r="L34" s="180"/>
    </row>
    <row r="35" spans="1:12" x14ac:dyDescent="0.25">
      <c r="G35" s="180"/>
      <c r="H35" s="180"/>
      <c r="I35" s="180" t="s">
        <v>65</v>
      </c>
      <c r="J35" s="180"/>
      <c r="K35" s="180" t="s">
        <v>67</v>
      </c>
      <c r="L35" s="180"/>
    </row>
    <row r="36" spans="1:12" x14ac:dyDescent="0.25">
      <c r="K36" s="180"/>
      <c r="L36" s="180"/>
    </row>
    <row r="37" spans="1:12" x14ac:dyDescent="0.25">
      <c r="K37" s="18"/>
      <c r="L37" s="18"/>
    </row>
    <row r="38" spans="1:12" x14ac:dyDescent="0.25">
      <c r="K38" s="18"/>
      <c r="L38" s="18"/>
    </row>
    <row r="39" spans="1:12" ht="18.75" x14ac:dyDescent="0.3">
      <c r="G39" s="184" t="s">
        <v>25</v>
      </c>
      <c r="H39" s="184"/>
      <c r="I39" s="184"/>
      <c r="J39" s="184"/>
      <c r="K39" s="180"/>
      <c r="L39" s="180"/>
    </row>
    <row r="40" spans="1:12" ht="15.75" x14ac:dyDescent="0.25">
      <c r="G40" s="2" t="s">
        <v>1</v>
      </c>
      <c r="H40" s="2" t="s">
        <v>6</v>
      </c>
      <c r="I40" s="182" t="s">
        <v>13</v>
      </c>
      <c r="J40" s="183"/>
      <c r="K40" s="180"/>
      <c r="L40" s="180"/>
    </row>
    <row r="41" spans="1:12" ht="15.75" x14ac:dyDescent="0.25">
      <c r="G41" s="6"/>
      <c r="H41" s="7"/>
      <c r="I41" s="182"/>
      <c r="J41" s="183"/>
      <c r="K41" s="18"/>
      <c r="L41" s="18"/>
    </row>
    <row r="42" spans="1:12" ht="15.75" x14ac:dyDescent="0.25">
      <c r="G42" s="6"/>
      <c r="H42" s="7"/>
      <c r="I42" s="182"/>
      <c r="J42" s="183"/>
      <c r="K42" s="18"/>
      <c r="L42" s="18"/>
    </row>
    <row r="43" spans="1:12" ht="15.75" x14ac:dyDescent="0.25">
      <c r="G43" s="6"/>
      <c r="H43" s="7"/>
      <c r="I43" s="182"/>
      <c r="J43" s="183"/>
      <c r="K43" s="180"/>
      <c r="L43" s="180"/>
    </row>
    <row r="44" spans="1:12" ht="15.75" x14ac:dyDescent="0.25">
      <c r="G44" s="6"/>
      <c r="H44" s="4"/>
      <c r="I44" s="182"/>
      <c r="J44" s="183"/>
      <c r="K44" s="180"/>
      <c r="L44" s="180"/>
    </row>
    <row r="45" spans="1:12" ht="15.75" x14ac:dyDescent="0.25">
      <c r="G45" s="6"/>
      <c r="H45" s="4"/>
      <c r="I45" s="182"/>
      <c r="J45" s="183"/>
    </row>
    <row r="46" spans="1:12" ht="15.75" x14ac:dyDescent="0.25">
      <c r="G46" s="6"/>
      <c r="H46" s="4"/>
      <c r="I46" s="182"/>
      <c r="J46" s="183"/>
    </row>
    <row r="47" spans="1:12" ht="15.75" x14ac:dyDescent="0.25">
      <c r="G47" s="6"/>
      <c r="H47" s="4"/>
      <c r="I47" s="182"/>
      <c r="J47" s="183"/>
    </row>
    <row r="48" spans="1:12" ht="15.75" x14ac:dyDescent="0.25">
      <c r="G48" s="6"/>
      <c r="H48" s="4"/>
      <c r="I48" s="182"/>
      <c r="J48" s="183"/>
    </row>
    <row r="49" spans="7:12" ht="15.75" x14ac:dyDescent="0.25">
      <c r="G49" s="6"/>
      <c r="H49" s="4"/>
      <c r="I49" s="182"/>
      <c r="J49" s="183"/>
    </row>
    <row r="50" spans="7:12" ht="15.75" x14ac:dyDescent="0.25">
      <c r="G50" s="6"/>
      <c r="H50" s="4"/>
      <c r="I50" s="182"/>
      <c r="J50" s="183"/>
    </row>
    <row r="51" spans="7:12" ht="15.75" x14ac:dyDescent="0.25">
      <c r="G51" s="6"/>
      <c r="H51" s="35"/>
      <c r="I51" s="182"/>
      <c r="J51" s="183"/>
      <c r="K51" s="204" t="s">
        <v>660</v>
      </c>
      <c r="L51" s="205"/>
    </row>
    <row r="52" spans="7:12" ht="15.75" x14ac:dyDescent="0.25">
      <c r="G52" s="6"/>
      <c r="H52" s="35"/>
      <c r="I52" s="182"/>
      <c r="J52" s="183"/>
    </row>
    <row r="53" spans="7:12" ht="15.75" x14ac:dyDescent="0.25">
      <c r="G53" s="6"/>
      <c r="H53" s="35"/>
      <c r="I53" s="182"/>
      <c r="J53" s="183"/>
    </row>
    <row r="55" spans="7:12" x14ac:dyDescent="0.25">
      <c r="G55" s="180"/>
      <c r="H55" s="180"/>
      <c r="I55" s="180" t="s">
        <v>64</v>
      </c>
      <c r="J55" s="180"/>
      <c r="K55" s="180" t="s">
        <v>64</v>
      </c>
      <c r="L55" s="180"/>
    </row>
    <row r="56" spans="7:12" x14ac:dyDescent="0.25">
      <c r="G56" s="180"/>
      <c r="H56" s="180"/>
      <c r="I56" s="180" t="s">
        <v>65</v>
      </c>
      <c r="J56" s="180"/>
      <c r="K56" s="180" t="s">
        <v>67</v>
      </c>
      <c r="L56" s="180"/>
    </row>
  </sheetData>
  <mergeCells count="75">
    <mergeCell ref="I13:J13"/>
    <mergeCell ref="I12:J12"/>
    <mergeCell ref="A1:B1"/>
    <mergeCell ref="D1:E1"/>
    <mergeCell ref="G1:L1"/>
    <mergeCell ref="A2:B2"/>
    <mergeCell ref="D2:E2"/>
    <mergeCell ref="I2:J2"/>
    <mergeCell ref="I3:J3"/>
    <mergeCell ref="I7:J7"/>
    <mergeCell ref="I8:J8"/>
    <mergeCell ref="I9:J9"/>
    <mergeCell ref="I10:J10"/>
    <mergeCell ref="I11:J11"/>
    <mergeCell ref="A24:B24"/>
    <mergeCell ref="I29:J29"/>
    <mergeCell ref="I20:J20"/>
    <mergeCell ref="I21:J21"/>
    <mergeCell ref="A17:B17"/>
    <mergeCell ref="I22:J22"/>
    <mergeCell ref="D18:E18"/>
    <mergeCell ref="I23:J23"/>
    <mergeCell ref="I24:J24"/>
    <mergeCell ref="I25:J25"/>
    <mergeCell ref="I26:J26"/>
    <mergeCell ref="I27:J27"/>
    <mergeCell ref="I28:J28"/>
    <mergeCell ref="D27:E27"/>
    <mergeCell ref="H32:L32"/>
    <mergeCell ref="A28:F30"/>
    <mergeCell ref="K33:L33"/>
    <mergeCell ref="G34:H34"/>
    <mergeCell ref="I34:J34"/>
    <mergeCell ref="K34:L34"/>
    <mergeCell ref="A32:B32"/>
    <mergeCell ref="C32:D32"/>
    <mergeCell ref="E32:F32"/>
    <mergeCell ref="I30:J30"/>
    <mergeCell ref="I31:J31"/>
    <mergeCell ref="K43:L43"/>
    <mergeCell ref="I44:J44"/>
    <mergeCell ref="K44:L44"/>
    <mergeCell ref="A33:B33"/>
    <mergeCell ref="C33:D33"/>
    <mergeCell ref="E33:F33"/>
    <mergeCell ref="G39:J39"/>
    <mergeCell ref="K39:L39"/>
    <mergeCell ref="I40:J40"/>
    <mergeCell ref="K40:L40"/>
    <mergeCell ref="I35:J35"/>
    <mergeCell ref="K35:L35"/>
    <mergeCell ref="K36:L36"/>
    <mergeCell ref="G35:H35"/>
    <mergeCell ref="I48:J48"/>
    <mergeCell ref="I49:J49"/>
    <mergeCell ref="I50:J50"/>
    <mergeCell ref="I41:J41"/>
    <mergeCell ref="I42:J42"/>
    <mergeCell ref="I43:J43"/>
    <mergeCell ref="G56:H56"/>
    <mergeCell ref="I56:J56"/>
    <mergeCell ref="K56:L56"/>
    <mergeCell ref="I4:J4"/>
    <mergeCell ref="I5:J5"/>
    <mergeCell ref="I6:J6"/>
    <mergeCell ref="I51:J51"/>
    <mergeCell ref="K51:L51"/>
    <mergeCell ref="I52:J52"/>
    <mergeCell ref="I53:J53"/>
    <mergeCell ref="G55:H55"/>
    <mergeCell ref="I55:J55"/>
    <mergeCell ref="K55:L55"/>
    <mergeCell ref="I45:J45"/>
    <mergeCell ref="I46:J46"/>
    <mergeCell ref="I47:J4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L57"/>
  <sheetViews>
    <sheetView topLeftCell="B1" workbookViewId="0">
      <selection activeCell="K12" sqref="K12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323</v>
      </c>
      <c r="B1" s="184"/>
      <c r="C1" s="10"/>
      <c r="D1" s="199" t="s">
        <v>55</v>
      </c>
      <c r="E1" s="200"/>
      <c r="G1" s="184" t="s">
        <v>738</v>
      </c>
      <c r="H1" s="184"/>
      <c r="I1" s="184"/>
      <c r="J1" s="184"/>
      <c r="K1" s="184"/>
      <c r="L1" s="184"/>
    </row>
    <row r="2" spans="1:12" ht="18.75" x14ac:dyDescent="0.3">
      <c r="A2" s="184" t="s">
        <v>313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H33</f>
        <v>19285.520000000004</v>
      </c>
      <c r="C3" s="11"/>
      <c r="D3" s="5"/>
      <c r="E3" s="4"/>
      <c r="F3" s="42"/>
      <c r="G3" s="6">
        <v>43445</v>
      </c>
      <c r="H3" s="7">
        <v>500</v>
      </c>
      <c r="I3" s="187" t="s">
        <v>731</v>
      </c>
      <c r="J3" s="188"/>
      <c r="K3" s="8" t="s">
        <v>732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43080</v>
      </c>
      <c r="H4" s="7">
        <v>5000</v>
      </c>
      <c r="I4" s="187" t="s">
        <v>46</v>
      </c>
      <c r="J4" s="188"/>
      <c r="K4" s="8" t="s">
        <v>725</v>
      </c>
      <c r="L4" s="8" t="s">
        <v>268</v>
      </c>
    </row>
    <row r="5" spans="1:12" ht="15.75" x14ac:dyDescent="0.25">
      <c r="A5" s="2" t="s">
        <v>4</v>
      </c>
      <c r="B5" s="3">
        <f>SUM(H42:H54)</f>
        <v>4500</v>
      </c>
      <c r="C5" s="11"/>
      <c r="D5" s="5"/>
      <c r="E5" s="4"/>
      <c r="G5" s="6">
        <v>43080</v>
      </c>
      <c r="H5" s="7">
        <v>400</v>
      </c>
      <c r="I5" s="187" t="s">
        <v>483</v>
      </c>
      <c r="J5" s="188"/>
      <c r="K5" s="8" t="s">
        <v>504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43081</v>
      </c>
      <c r="H6" s="7">
        <v>100</v>
      </c>
      <c r="I6" s="187" t="s">
        <v>180</v>
      </c>
      <c r="J6" s="188"/>
      <c r="K6" s="8" t="s">
        <v>180</v>
      </c>
      <c r="L6" s="8"/>
    </row>
    <row r="7" spans="1:12" ht="15.75" x14ac:dyDescent="0.25">
      <c r="A7" s="12" t="s">
        <v>5</v>
      </c>
      <c r="B7" s="25">
        <f>B3+B4-B5</f>
        <v>14785.520000000004</v>
      </c>
      <c r="C7" s="11"/>
      <c r="D7" s="22"/>
      <c r="E7" s="4"/>
      <c r="G7" s="6">
        <v>43084</v>
      </c>
      <c r="H7" s="7">
        <v>5600</v>
      </c>
      <c r="I7" s="187" t="s">
        <v>719</v>
      </c>
      <c r="J7" s="188"/>
      <c r="K7" s="8" t="s">
        <v>2215</v>
      </c>
      <c r="L7" s="8" t="s">
        <v>267</v>
      </c>
    </row>
    <row r="8" spans="1:12" ht="15.75" x14ac:dyDescent="0.25">
      <c r="A8" s="2"/>
      <c r="B8" s="3"/>
      <c r="C8" s="11"/>
      <c r="D8" s="22"/>
      <c r="E8" s="4"/>
      <c r="G8" s="6">
        <v>43084</v>
      </c>
      <c r="H8" s="7">
        <v>971.87</v>
      </c>
      <c r="I8" s="187" t="s">
        <v>46</v>
      </c>
      <c r="J8" s="188"/>
      <c r="K8" s="8" t="s">
        <v>557</v>
      </c>
      <c r="L8" s="8" t="s">
        <v>268</v>
      </c>
    </row>
    <row r="9" spans="1:12" ht="15.75" x14ac:dyDescent="0.25">
      <c r="A9" s="2" t="s">
        <v>14</v>
      </c>
      <c r="B9" s="3">
        <f>B7*0.1</f>
        <v>1478.5520000000006</v>
      </c>
      <c r="C9" s="11"/>
      <c r="D9" s="44"/>
      <c r="E9" s="4"/>
      <c r="G9" s="6">
        <v>43087</v>
      </c>
      <c r="H9" s="7">
        <v>500</v>
      </c>
      <c r="I9" s="187" t="s">
        <v>736</v>
      </c>
      <c r="J9" s="188"/>
      <c r="K9" s="8" t="s">
        <v>709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43088</v>
      </c>
      <c r="H10" s="7">
        <v>1100</v>
      </c>
      <c r="I10" s="187" t="s">
        <v>431</v>
      </c>
      <c r="J10" s="188"/>
      <c r="K10" s="8" t="s">
        <v>384</v>
      </c>
      <c r="L10" s="8" t="s">
        <v>267</v>
      </c>
    </row>
    <row r="11" spans="1:12" ht="15.75" x14ac:dyDescent="0.25">
      <c r="A11" s="2" t="s">
        <v>59</v>
      </c>
      <c r="B11" s="3">
        <f>(B7-B9)/2</f>
        <v>6653.4840000000022</v>
      </c>
      <c r="C11" s="11"/>
      <c r="D11" s="2"/>
      <c r="E11" s="4"/>
      <c r="F11" s="42"/>
      <c r="G11" s="6">
        <v>43088</v>
      </c>
      <c r="H11" s="7">
        <v>150</v>
      </c>
      <c r="I11" s="187" t="s">
        <v>724</v>
      </c>
      <c r="J11" s="188"/>
      <c r="K11" s="8" t="s">
        <v>685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43097</v>
      </c>
      <c r="H12" s="7">
        <v>2904.3</v>
      </c>
      <c r="I12" s="187" t="s">
        <v>727</v>
      </c>
      <c r="J12" s="188"/>
      <c r="K12" s="8" t="s">
        <v>728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43102</v>
      </c>
      <c r="H13" s="7">
        <v>580.86</v>
      </c>
      <c r="I13" s="187" t="s">
        <v>729</v>
      </c>
      <c r="J13" s="188"/>
      <c r="K13" s="8" t="s">
        <v>730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43108</v>
      </c>
      <c r="H14" s="7">
        <v>500</v>
      </c>
      <c r="I14" s="187" t="s">
        <v>736</v>
      </c>
      <c r="J14" s="188"/>
      <c r="K14" s="8" t="s">
        <v>709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43108</v>
      </c>
      <c r="H15" s="7">
        <v>880.88</v>
      </c>
      <c r="I15" s="187" t="s">
        <v>734</v>
      </c>
      <c r="J15" s="188"/>
      <c r="K15" s="8" t="s">
        <v>735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43109</v>
      </c>
      <c r="H16" s="7">
        <v>97.61</v>
      </c>
      <c r="I16" s="187" t="s">
        <v>745</v>
      </c>
      <c r="J16" s="188"/>
      <c r="K16" s="8" t="s">
        <v>746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6653.4840000000022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6653.4840000000022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743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/>
      <c r="H26" s="7"/>
      <c r="I26" s="187"/>
      <c r="J26" s="188"/>
      <c r="K26" s="8"/>
      <c r="L26" s="8"/>
    </row>
    <row r="27" spans="1:12" ht="18.75" x14ac:dyDescent="0.3">
      <c r="A27" s="17"/>
      <c r="B27" s="17"/>
      <c r="C27" s="17"/>
      <c r="D27" s="178"/>
      <c r="E27" s="178"/>
      <c r="F27" s="9"/>
      <c r="G27" s="6"/>
      <c r="H27" s="7"/>
      <c r="I27" s="187"/>
      <c r="J27" s="188"/>
      <c r="K27" s="8"/>
      <c r="L27" s="8"/>
    </row>
    <row r="28" spans="1:12" ht="15.75" x14ac:dyDescent="0.25">
      <c r="A28" s="209"/>
      <c r="B28" s="209"/>
      <c r="C28" s="209"/>
      <c r="D28" s="209"/>
      <c r="E28" s="209"/>
      <c r="F28" s="209"/>
      <c r="G28" s="6"/>
      <c r="H28" s="7"/>
      <c r="I28" s="187"/>
      <c r="J28" s="188"/>
      <c r="K28" s="8"/>
      <c r="L28" s="8"/>
    </row>
    <row r="29" spans="1:12" ht="15.75" x14ac:dyDescent="0.25">
      <c r="A29" s="209"/>
      <c r="B29" s="209"/>
      <c r="C29" s="209"/>
      <c r="D29" s="209"/>
      <c r="E29" s="209"/>
      <c r="F29" s="209"/>
      <c r="G29" s="6"/>
      <c r="H29" s="7"/>
      <c r="I29" s="187"/>
      <c r="J29" s="188"/>
      <c r="K29" s="8"/>
      <c r="L29" s="8"/>
    </row>
    <row r="30" spans="1:12" ht="15.75" x14ac:dyDescent="0.25">
      <c r="A30" s="209"/>
      <c r="B30" s="209"/>
      <c r="C30" s="209"/>
      <c r="D30" s="209"/>
      <c r="E30" s="209"/>
      <c r="F30" s="209"/>
      <c r="G30" s="6"/>
      <c r="H30" s="7"/>
      <c r="I30" s="187"/>
      <c r="J30" s="188"/>
      <c r="K30" s="8"/>
      <c r="L30" s="8"/>
    </row>
    <row r="31" spans="1:12" ht="15.75" x14ac:dyDescent="0.25">
      <c r="A31" s="17"/>
      <c r="B31" s="29"/>
      <c r="C31" s="29"/>
      <c r="D31" s="29"/>
      <c r="E31" s="20"/>
      <c r="F31" s="1"/>
      <c r="G31" s="6"/>
      <c r="H31" s="7"/>
      <c r="I31" s="187"/>
      <c r="J31" s="188"/>
      <c r="K31" s="8"/>
      <c r="L31" s="8"/>
    </row>
    <row r="32" spans="1:12" ht="15.75" x14ac:dyDescent="0.25">
      <c r="A32" s="178"/>
      <c r="B32" s="178"/>
      <c r="C32" s="178"/>
      <c r="D32" s="178"/>
      <c r="E32" s="178"/>
      <c r="F32" s="178"/>
      <c r="G32" s="6"/>
      <c r="H32" s="7"/>
      <c r="I32" s="187"/>
      <c r="J32" s="188"/>
      <c r="K32" s="8"/>
      <c r="L32" s="8"/>
    </row>
    <row r="33" spans="1:12" ht="15.75" x14ac:dyDescent="0.25">
      <c r="A33" s="180"/>
      <c r="B33" s="180"/>
      <c r="C33" s="180"/>
      <c r="D33" s="180"/>
      <c r="E33" s="180"/>
      <c r="F33" s="180"/>
      <c r="G33" s="6" t="s">
        <v>23</v>
      </c>
      <c r="H33" s="193">
        <f>SUM(H3:H32)</f>
        <v>19285.520000000004</v>
      </c>
      <c r="I33" s="194"/>
      <c r="J33" s="194"/>
      <c r="K33" s="194"/>
      <c r="L33" s="195"/>
    </row>
    <row r="34" spans="1:12" ht="15.75" x14ac:dyDescent="0.25">
      <c r="G34" s="1"/>
      <c r="H34" s="1"/>
      <c r="I34" s="1"/>
      <c r="J34" s="1"/>
      <c r="K34" s="196" t="s">
        <v>743</v>
      </c>
      <c r="L34" s="196"/>
    </row>
    <row r="35" spans="1:12" x14ac:dyDescent="0.25">
      <c r="G35" s="180"/>
      <c r="H35" s="180"/>
      <c r="I35" s="180" t="s">
        <v>69</v>
      </c>
      <c r="J35" s="180"/>
      <c r="K35" s="180" t="s">
        <v>69</v>
      </c>
      <c r="L35" s="180"/>
    </row>
    <row r="36" spans="1:12" x14ac:dyDescent="0.25">
      <c r="G36" s="180"/>
      <c r="H36" s="180"/>
      <c r="I36" s="180" t="s">
        <v>65</v>
      </c>
      <c r="J36" s="180"/>
      <c r="K36" s="180" t="s">
        <v>67</v>
      </c>
      <c r="L36" s="180"/>
    </row>
    <row r="37" spans="1:12" x14ac:dyDescent="0.25">
      <c r="K37" s="180"/>
      <c r="L37" s="180"/>
    </row>
    <row r="38" spans="1:12" x14ac:dyDescent="0.25">
      <c r="K38" s="18"/>
      <c r="L38" s="18"/>
    </row>
    <row r="39" spans="1:12" x14ac:dyDescent="0.25">
      <c r="K39" s="18"/>
      <c r="L39" s="18"/>
    </row>
    <row r="40" spans="1:12" ht="18.75" x14ac:dyDescent="0.3">
      <c r="G40" s="184" t="s">
        <v>25</v>
      </c>
      <c r="H40" s="184"/>
      <c r="I40" s="184"/>
      <c r="J40" s="184"/>
      <c r="K40" s="180"/>
      <c r="L40" s="180"/>
    </row>
    <row r="41" spans="1:12" ht="15.75" x14ac:dyDescent="0.25">
      <c r="G41" s="2" t="s">
        <v>1</v>
      </c>
      <c r="H41" s="2" t="s">
        <v>6</v>
      </c>
      <c r="I41" s="182" t="s">
        <v>13</v>
      </c>
      <c r="J41" s="183"/>
      <c r="K41" s="180"/>
      <c r="L41" s="180"/>
    </row>
    <row r="42" spans="1:12" ht="15.75" x14ac:dyDescent="0.25">
      <c r="G42" s="6">
        <v>43453</v>
      </c>
      <c r="H42" s="7">
        <v>4500</v>
      </c>
      <c r="I42" s="182" t="s">
        <v>869</v>
      </c>
      <c r="J42" s="183"/>
      <c r="K42" s="18"/>
      <c r="L42" s="18"/>
    </row>
    <row r="43" spans="1:12" ht="15.75" x14ac:dyDescent="0.25">
      <c r="G43" s="6"/>
      <c r="H43" s="7"/>
      <c r="I43" s="182"/>
      <c r="J43" s="183"/>
      <c r="K43" s="18"/>
      <c r="L43" s="18"/>
    </row>
    <row r="44" spans="1:12" ht="15.75" x14ac:dyDescent="0.25">
      <c r="G44" s="6"/>
      <c r="H44" s="7"/>
      <c r="I44" s="182"/>
      <c r="J44" s="183"/>
      <c r="K44" s="180"/>
      <c r="L44" s="180"/>
    </row>
    <row r="45" spans="1:12" ht="15.75" x14ac:dyDescent="0.25">
      <c r="G45" s="6"/>
      <c r="H45" s="4"/>
      <c r="I45" s="182"/>
      <c r="J45" s="183"/>
      <c r="K45" s="180"/>
      <c r="L45" s="180"/>
    </row>
    <row r="46" spans="1:12" ht="15.75" x14ac:dyDescent="0.25">
      <c r="G46" s="6"/>
      <c r="H46" s="4"/>
      <c r="I46" s="182"/>
      <c r="J46" s="183"/>
    </row>
    <row r="47" spans="1:12" ht="15.75" x14ac:dyDescent="0.25">
      <c r="G47" s="6"/>
      <c r="H47" s="4"/>
      <c r="I47" s="182"/>
      <c r="J47" s="183"/>
    </row>
    <row r="48" spans="1:12" ht="15.75" x14ac:dyDescent="0.25">
      <c r="G48" s="6"/>
      <c r="H48" s="4"/>
      <c r="I48" s="182"/>
      <c r="J48" s="183"/>
    </row>
    <row r="49" spans="7:12" ht="15.75" x14ac:dyDescent="0.25">
      <c r="G49" s="6"/>
      <c r="H49" s="4"/>
      <c r="I49" s="182"/>
      <c r="J49" s="183"/>
    </row>
    <row r="50" spans="7:12" ht="15.75" x14ac:dyDescent="0.25">
      <c r="G50" s="6"/>
      <c r="H50" s="4"/>
      <c r="I50" s="182"/>
      <c r="J50" s="183"/>
    </row>
    <row r="51" spans="7:12" ht="15.75" x14ac:dyDescent="0.25">
      <c r="G51" s="6"/>
      <c r="H51" s="4"/>
      <c r="I51" s="182"/>
      <c r="J51" s="183"/>
    </row>
    <row r="52" spans="7:12" ht="15.75" x14ac:dyDescent="0.25">
      <c r="G52" s="6"/>
      <c r="H52" s="35"/>
      <c r="I52" s="182"/>
      <c r="J52" s="183"/>
      <c r="K52" s="204" t="s">
        <v>660</v>
      </c>
      <c r="L52" s="205"/>
    </row>
    <row r="53" spans="7:12" ht="15.75" x14ac:dyDescent="0.25">
      <c r="G53" s="6"/>
      <c r="H53" s="35"/>
      <c r="I53" s="182"/>
      <c r="J53" s="183"/>
    </row>
    <row r="54" spans="7:12" ht="15.75" x14ac:dyDescent="0.25">
      <c r="G54" s="6"/>
      <c r="H54" s="35"/>
      <c r="I54" s="182"/>
      <c r="J54" s="183"/>
    </row>
    <row r="56" spans="7:12" x14ac:dyDescent="0.25">
      <c r="G56" s="180"/>
      <c r="H56" s="180"/>
      <c r="I56" s="180" t="s">
        <v>64</v>
      </c>
      <c r="J56" s="180"/>
      <c r="K56" s="180" t="s">
        <v>64</v>
      </c>
      <c r="L56" s="180"/>
    </row>
    <row r="57" spans="7:12" x14ac:dyDescent="0.25">
      <c r="G57" s="180"/>
      <c r="H57" s="180"/>
      <c r="I57" s="180" t="s">
        <v>65</v>
      </c>
      <c r="J57" s="180"/>
      <c r="K57" s="180" t="s">
        <v>67</v>
      </c>
      <c r="L57" s="180"/>
    </row>
  </sheetData>
  <mergeCells count="82">
    <mergeCell ref="A1:B1"/>
    <mergeCell ref="D1:E1"/>
    <mergeCell ref="G1:L1"/>
    <mergeCell ref="A2:B2"/>
    <mergeCell ref="D2:E2"/>
    <mergeCell ref="I2:J2"/>
    <mergeCell ref="I15:J15"/>
    <mergeCell ref="I3:J3"/>
    <mergeCell ref="I4:J4"/>
    <mergeCell ref="I5:J5"/>
    <mergeCell ref="I6:J6"/>
    <mergeCell ref="I7:J7"/>
    <mergeCell ref="I8:J8"/>
    <mergeCell ref="I14:J14"/>
    <mergeCell ref="I9:J9"/>
    <mergeCell ref="I10:J10"/>
    <mergeCell ref="I11:J11"/>
    <mergeCell ref="I12:J12"/>
    <mergeCell ref="I13:J13"/>
    <mergeCell ref="A24:B24"/>
    <mergeCell ref="I25:J25"/>
    <mergeCell ref="I16:J16"/>
    <mergeCell ref="I17:J17"/>
    <mergeCell ref="A17:B17"/>
    <mergeCell ref="I18:J18"/>
    <mergeCell ref="D18:E18"/>
    <mergeCell ref="I19:J19"/>
    <mergeCell ref="I20:J20"/>
    <mergeCell ref="I21:J21"/>
    <mergeCell ref="I22:J22"/>
    <mergeCell ref="I23:J23"/>
    <mergeCell ref="I24:J24"/>
    <mergeCell ref="A33:B33"/>
    <mergeCell ref="C33:D33"/>
    <mergeCell ref="E33:F33"/>
    <mergeCell ref="K34:L34"/>
    <mergeCell ref="I26:J26"/>
    <mergeCell ref="I27:J27"/>
    <mergeCell ref="D27:E27"/>
    <mergeCell ref="I28:J28"/>
    <mergeCell ref="A28:F30"/>
    <mergeCell ref="I29:J29"/>
    <mergeCell ref="I30:J30"/>
    <mergeCell ref="I31:J31"/>
    <mergeCell ref="I32:J32"/>
    <mergeCell ref="A32:B32"/>
    <mergeCell ref="C32:D32"/>
    <mergeCell ref="E32:F32"/>
    <mergeCell ref="H33:L33"/>
    <mergeCell ref="G35:H35"/>
    <mergeCell ref="I35:J35"/>
    <mergeCell ref="K35:L35"/>
    <mergeCell ref="G36:H36"/>
    <mergeCell ref="I36:J36"/>
    <mergeCell ref="K36:L36"/>
    <mergeCell ref="I46:J46"/>
    <mergeCell ref="K37:L37"/>
    <mergeCell ref="G40:J40"/>
    <mergeCell ref="K40:L40"/>
    <mergeCell ref="I41:J41"/>
    <mergeCell ref="K41:L41"/>
    <mergeCell ref="I42:J42"/>
    <mergeCell ref="I43:J43"/>
    <mergeCell ref="I44:J44"/>
    <mergeCell ref="K44:L44"/>
    <mergeCell ref="I45:J45"/>
    <mergeCell ref="K45:L45"/>
    <mergeCell ref="I47:J47"/>
    <mergeCell ref="I48:J48"/>
    <mergeCell ref="I49:J49"/>
    <mergeCell ref="I50:J50"/>
    <mergeCell ref="I51:J51"/>
    <mergeCell ref="G57:H57"/>
    <mergeCell ref="I57:J57"/>
    <mergeCell ref="K57:L57"/>
    <mergeCell ref="K52:L52"/>
    <mergeCell ref="I53:J53"/>
    <mergeCell ref="I54:J54"/>
    <mergeCell ref="G56:H56"/>
    <mergeCell ref="I56:J56"/>
    <mergeCell ref="K56:L56"/>
    <mergeCell ref="I52:J5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/>
  <dimension ref="A1:L50"/>
  <sheetViews>
    <sheetView topLeftCell="G5" workbookViewId="0">
      <selection activeCell="G5" sqref="G5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357</v>
      </c>
      <c r="B1" s="184"/>
      <c r="C1" s="10"/>
      <c r="D1" s="199" t="s">
        <v>55</v>
      </c>
      <c r="E1" s="200"/>
      <c r="G1" s="184" t="s">
        <v>741</v>
      </c>
      <c r="H1" s="184"/>
      <c r="I1" s="184"/>
      <c r="J1" s="184"/>
      <c r="K1" s="184"/>
      <c r="L1" s="184"/>
    </row>
    <row r="2" spans="1:12" ht="18.75" x14ac:dyDescent="0.3">
      <c r="A2" s="184" t="s">
        <v>358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23848.77</v>
      </c>
      <c r="C3" s="11"/>
      <c r="D3" s="5">
        <v>43116</v>
      </c>
      <c r="E3" s="4">
        <v>653.4</v>
      </c>
      <c r="F3" s="42"/>
      <c r="G3" s="6">
        <v>43111</v>
      </c>
      <c r="H3" s="7">
        <v>1962.1</v>
      </c>
      <c r="I3" s="187" t="s">
        <v>744</v>
      </c>
      <c r="J3" s="188"/>
      <c r="K3" s="8" t="s">
        <v>2271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43115</v>
      </c>
      <c r="H4" s="7">
        <v>971.87</v>
      </c>
      <c r="I4" s="187" t="s">
        <v>46</v>
      </c>
      <c r="J4" s="188"/>
      <c r="K4" s="8" t="s">
        <v>747</v>
      </c>
      <c r="L4" s="8" t="s">
        <v>268</v>
      </c>
    </row>
    <row r="5" spans="1:12" ht="15.75" x14ac:dyDescent="0.25">
      <c r="A5" s="2" t="s">
        <v>4</v>
      </c>
      <c r="B5" s="3">
        <f>SUM(H35:H47)</f>
        <v>4506.8</v>
      </c>
      <c r="C5" s="11"/>
      <c r="D5" s="5"/>
      <c r="E5" s="4"/>
      <c r="G5" s="6">
        <v>43116</v>
      </c>
      <c r="H5" s="7">
        <v>400</v>
      </c>
      <c r="I5" s="187" t="s">
        <v>751</v>
      </c>
      <c r="J5" s="188"/>
      <c r="K5" s="8" t="s">
        <v>421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43117</v>
      </c>
      <c r="H6" s="7">
        <v>300</v>
      </c>
      <c r="I6" s="187" t="s">
        <v>453</v>
      </c>
      <c r="J6" s="188"/>
      <c r="K6" s="8" t="s">
        <v>2270</v>
      </c>
      <c r="L6" s="8" t="s">
        <v>267</v>
      </c>
    </row>
    <row r="7" spans="1:12" ht="15.75" x14ac:dyDescent="0.25">
      <c r="A7" s="12" t="s">
        <v>5</v>
      </c>
      <c r="B7" s="25">
        <f>B3+B4-B5</f>
        <v>19341.97</v>
      </c>
      <c r="C7" s="11"/>
      <c r="D7" s="22"/>
      <c r="E7" s="4"/>
      <c r="G7" s="6">
        <v>43118</v>
      </c>
      <c r="H7" s="7">
        <v>150</v>
      </c>
      <c r="I7" s="187" t="s">
        <v>327</v>
      </c>
      <c r="J7" s="188"/>
      <c r="K7" s="8" t="s">
        <v>685</v>
      </c>
      <c r="L7" s="8" t="s">
        <v>267</v>
      </c>
    </row>
    <row r="8" spans="1:12" ht="15.75" x14ac:dyDescent="0.25">
      <c r="A8" s="2"/>
      <c r="B8" s="3"/>
      <c r="C8" s="11"/>
      <c r="D8" s="22"/>
      <c r="E8" s="4"/>
      <c r="G8" s="6">
        <v>43124</v>
      </c>
      <c r="H8" s="7">
        <v>769.68</v>
      </c>
      <c r="I8" s="187" t="s">
        <v>748</v>
      </c>
      <c r="J8" s="188"/>
      <c r="K8" s="8" t="s">
        <v>749</v>
      </c>
      <c r="L8" s="8" t="s">
        <v>268</v>
      </c>
    </row>
    <row r="9" spans="1:12" ht="15.75" x14ac:dyDescent="0.25">
      <c r="A9" s="2" t="s">
        <v>14</v>
      </c>
      <c r="B9" s="3">
        <f>B7*0.1</f>
        <v>1934.1970000000001</v>
      </c>
      <c r="C9" s="11"/>
      <c r="D9" s="44"/>
      <c r="E9" s="4"/>
      <c r="G9" s="6">
        <v>43126</v>
      </c>
      <c r="H9" s="7">
        <v>375</v>
      </c>
      <c r="I9" s="187" t="s">
        <v>550</v>
      </c>
      <c r="J9" s="188"/>
      <c r="K9" s="8" t="s">
        <v>442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43129</v>
      </c>
      <c r="H10" s="7">
        <v>1200</v>
      </c>
      <c r="I10" s="187" t="s">
        <v>46</v>
      </c>
      <c r="J10" s="188"/>
      <c r="K10" s="8" t="s">
        <v>752</v>
      </c>
      <c r="L10" s="8" t="s">
        <v>268</v>
      </c>
    </row>
    <row r="11" spans="1:12" ht="15.75" x14ac:dyDescent="0.25">
      <c r="A11" s="2" t="s">
        <v>59</v>
      </c>
      <c r="B11" s="3">
        <f>(B7-B9)/2</f>
        <v>8703.8865000000005</v>
      </c>
      <c r="C11" s="11"/>
      <c r="D11" s="2"/>
      <c r="E11" s="4"/>
      <c r="F11" s="42"/>
      <c r="G11" s="6">
        <v>43131</v>
      </c>
      <c r="H11" s="7">
        <v>3001.03</v>
      </c>
      <c r="I11" s="187" t="s">
        <v>758</v>
      </c>
      <c r="J11" s="188"/>
      <c r="K11" s="8" t="s">
        <v>759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43130</v>
      </c>
      <c r="H12" s="7">
        <v>1124.1300000000001</v>
      </c>
      <c r="I12" s="187" t="s">
        <v>763</v>
      </c>
      <c r="J12" s="188"/>
      <c r="K12" s="8" t="s">
        <v>753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>
        <v>43131</v>
      </c>
      <c r="H13" s="7">
        <v>4000</v>
      </c>
      <c r="I13" s="187" t="s">
        <v>46</v>
      </c>
      <c r="J13" s="188"/>
      <c r="K13" s="8" t="s">
        <v>725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43131</v>
      </c>
      <c r="H14" s="7">
        <v>1500</v>
      </c>
      <c r="I14" s="187" t="s">
        <v>754</v>
      </c>
      <c r="J14" s="188"/>
      <c r="K14" s="8" t="s">
        <v>2215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43133</v>
      </c>
      <c r="H15" s="7">
        <v>2000</v>
      </c>
      <c r="I15" s="187" t="s">
        <v>46</v>
      </c>
      <c r="J15" s="188"/>
      <c r="K15" s="8" t="s">
        <v>726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43133</v>
      </c>
      <c r="H16" s="7">
        <v>1140</v>
      </c>
      <c r="I16" s="187" t="s">
        <v>46</v>
      </c>
      <c r="J16" s="188"/>
      <c r="K16" s="8" t="s">
        <v>757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653.4</v>
      </c>
      <c r="G17" s="6">
        <v>43136</v>
      </c>
      <c r="H17" s="7">
        <v>500</v>
      </c>
      <c r="I17" s="187" t="s">
        <v>240</v>
      </c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>
        <v>43137</v>
      </c>
      <c r="H18" s="7">
        <v>2954.96</v>
      </c>
      <c r="I18" s="187" t="s">
        <v>46</v>
      </c>
      <c r="J18" s="188"/>
      <c r="K18" s="8" t="s">
        <v>760</v>
      </c>
      <c r="L18" s="8" t="s">
        <v>268</v>
      </c>
    </row>
    <row r="19" spans="1:12" ht="15.75" x14ac:dyDescent="0.25">
      <c r="A19" s="2" t="s">
        <v>57</v>
      </c>
      <c r="B19" s="3">
        <f>B11-E17</f>
        <v>8050.4865000000009</v>
      </c>
      <c r="C19" s="1"/>
      <c r="D19" s="2" t="s">
        <v>1</v>
      </c>
      <c r="E19" s="2" t="s">
        <v>6</v>
      </c>
      <c r="G19" s="6">
        <v>43139</v>
      </c>
      <c r="H19" s="7">
        <v>1000</v>
      </c>
      <c r="I19" s="187" t="s">
        <v>240</v>
      </c>
      <c r="J19" s="188"/>
      <c r="K19" s="8"/>
      <c r="L19" s="8"/>
    </row>
    <row r="20" spans="1:12" ht="15.75" x14ac:dyDescent="0.25">
      <c r="A20" s="2" t="s">
        <v>12</v>
      </c>
      <c r="B20" s="3">
        <f>B11-E25</f>
        <v>8050.4865000000009</v>
      </c>
      <c r="C20" s="1"/>
      <c r="D20" s="5">
        <v>43116</v>
      </c>
      <c r="E20" s="21">
        <v>653.4</v>
      </c>
      <c r="G20" s="6">
        <v>43139</v>
      </c>
      <c r="H20" s="7">
        <v>500</v>
      </c>
      <c r="I20" s="187" t="s">
        <v>731</v>
      </c>
      <c r="J20" s="188"/>
      <c r="K20" s="8" t="s">
        <v>772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742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653.4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23848.77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742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43141</v>
      </c>
      <c r="H35" s="7">
        <v>1500</v>
      </c>
      <c r="I35" s="182" t="s">
        <v>173</v>
      </c>
      <c r="J35" s="183"/>
      <c r="K35" s="18"/>
      <c r="L35" s="18"/>
    </row>
    <row r="36" spans="1:12" ht="15.75" x14ac:dyDescent="0.25">
      <c r="G36" s="6">
        <v>43120</v>
      </c>
      <c r="H36" s="7">
        <v>700</v>
      </c>
      <c r="I36" s="182" t="s">
        <v>173</v>
      </c>
      <c r="J36" s="183"/>
      <c r="K36" s="18"/>
      <c r="L36" s="18"/>
    </row>
    <row r="37" spans="1:12" ht="15.75" x14ac:dyDescent="0.25">
      <c r="G37" s="6">
        <v>43105</v>
      </c>
      <c r="H37" s="7">
        <v>1000</v>
      </c>
      <c r="I37" s="182" t="s">
        <v>755</v>
      </c>
      <c r="J37" s="183"/>
      <c r="K37" s="180"/>
      <c r="L37" s="180"/>
    </row>
    <row r="38" spans="1:12" ht="15.75" x14ac:dyDescent="0.25">
      <c r="G38" s="6">
        <v>43116</v>
      </c>
      <c r="H38" s="4">
        <v>1306.8</v>
      </c>
      <c r="I38" s="182" t="s">
        <v>764</v>
      </c>
      <c r="J38" s="183"/>
      <c r="K38" s="180"/>
      <c r="L38" s="180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750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  <row r="49" spans="7:12" x14ac:dyDescent="0.25">
      <c r="G49" s="180"/>
      <c r="H49" s="180"/>
      <c r="I49" s="180" t="s">
        <v>64</v>
      </c>
      <c r="J49" s="180"/>
      <c r="K49" s="180" t="s">
        <v>64</v>
      </c>
      <c r="L49" s="180"/>
    </row>
    <row r="50" spans="7:12" x14ac:dyDescent="0.25">
      <c r="G50" s="180"/>
      <c r="H50" s="180"/>
      <c r="I50" s="180" t="s">
        <v>65</v>
      </c>
      <c r="J50" s="180"/>
      <c r="K50" s="180" t="s">
        <v>67</v>
      </c>
      <c r="L50" s="180"/>
    </row>
  </sheetData>
  <mergeCells count="75">
    <mergeCell ref="I12:J12"/>
    <mergeCell ref="A1:B1"/>
    <mergeCell ref="D1:E1"/>
    <mergeCell ref="G1:L1"/>
    <mergeCell ref="A2:B2"/>
    <mergeCell ref="D2:E2"/>
    <mergeCell ref="I2:J2"/>
    <mergeCell ref="I21:J21"/>
    <mergeCell ref="I22:J22"/>
    <mergeCell ref="I23:J23"/>
    <mergeCell ref="I17:J17"/>
    <mergeCell ref="I3:J3"/>
    <mergeCell ref="I4:J4"/>
    <mergeCell ref="I5:J5"/>
    <mergeCell ref="I7:J7"/>
    <mergeCell ref="I8:J8"/>
    <mergeCell ref="I9:J9"/>
    <mergeCell ref="I10:J10"/>
    <mergeCell ref="I11:J11"/>
    <mergeCell ref="I13:J13"/>
    <mergeCell ref="I14:J14"/>
    <mergeCell ref="I15:J15"/>
    <mergeCell ref="I6:J6"/>
    <mergeCell ref="I18:J18"/>
    <mergeCell ref="I19:J19"/>
    <mergeCell ref="A17:B17"/>
    <mergeCell ref="I16:J16"/>
    <mergeCell ref="D18:E18"/>
    <mergeCell ref="I24:J24"/>
    <mergeCell ref="I25:J25"/>
    <mergeCell ref="A32:B32"/>
    <mergeCell ref="C32:D32"/>
    <mergeCell ref="E32:F32"/>
    <mergeCell ref="A24:B24"/>
    <mergeCell ref="H26:L26"/>
    <mergeCell ref="A33:B33"/>
    <mergeCell ref="C33:D33"/>
    <mergeCell ref="E33:F33"/>
    <mergeCell ref="K27:L27"/>
    <mergeCell ref="D27:E27"/>
    <mergeCell ref="A28:F30"/>
    <mergeCell ref="G28:H28"/>
    <mergeCell ref="I28:J28"/>
    <mergeCell ref="K28:L28"/>
    <mergeCell ref="G29:H29"/>
    <mergeCell ref="I29:J29"/>
    <mergeCell ref="K29:L29"/>
    <mergeCell ref="I39:J39"/>
    <mergeCell ref="K30:L30"/>
    <mergeCell ref="G33:J33"/>
    <mergeCell ref="K33:L33"/>
    <mergeCell ref="I34:J34"/>
    <mergeCell ref="K34:L34"/>
    <mergeCell ref="I35:J35"/>
    <mergeCell ref="I36:J36"/>
    <mergeCell ref="I37:J37"/>
    <mergeCell ref="K37:L37"/>
    <mergeCell ref="I38:J38"/>
    <mergeCell ref="K38:L38"/>
    <mergeCell ref="I20:J20"/>
    <mergeCell ref="G50:H50"/>
    <mergeCell ref="I50:J50"/>
    <mergeCell ref="K50:L50"/>
    <mergeCell ref="K45:L45"/>
    <mergeCell ref="I46:J46"/>
    <mergeCell ref="I47:J47"/>
    <mergeCell ref="G49:H49"/>
    <mergeCell ref="I49:J49"/>
    <mergeCell ref="K49:L49"/>
    <mergeCell ref="I45:J45"/>
    <mergeCell ref="I40:J40"/>
    <mergeCell ref="I41:J41"/>
    <mergeCell ref="I42:J42"/>
    <mergeCell ref="I43:J43"/>
    <mergeCell ref="I44:J4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/>
  <dimension ref="A1:L62"/>
  <sheetViews>
    <sheetView topLeftCell="E1" workbookViewId="0">
      <selection activeCell="K18" sqref="K18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400</v>
      </c>
      <c r="B1" s="184"/>
      <c r="C1" s="10"/>
      <c r="D1" s="199" t="s">
        <v>55</v>
      </c>
      <c r="E1" s="200"/>
      <c r="G1" s="184" t="s">
        <v>762</v>
      </c>
      <c r="H1" s="184"/>
      <c r="I1" s="184"/>
      <c r="J1" s="184"/>
      <c r="K1" s="184"/>
      <c r="L1" s="184"/>
    </row>
    <row r="2" spans="1:12" ht="18.75" x14ac:dyDescent="0.3">
      <c r="A2" s="184" t="s">
        <v>396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H38</f>
        <v>33821.119999999995</v>
      </c>
      <c r="C3" s="11"/>
      <c r="D3" s="5">
        <v>43168</v>
      </c>
      <c r="E3" s="4">
        <v>528</v>
      </c>
      <c r="F3" s="42" t="s">
        <v>782</v>
      </c>
      <c r="G3" s="6">
        <v>43145</v>
      </c>
      <c r="H3" s="7">
        <v>100</v>
      </c>
      <c r="I3" s="187" t="s">
        <v>139</v>
      </c>
      <c r="J3" s="188"/>
      <c r="K3" s="8" t="s">
        <v>756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43146</v>
      </c>
      <c r="H4" s="7">
        <v>300</v>
      </c>
      <c r="I4" s="187"/>
      <c r="J4" s="188"/>
      <c r="K4" s="8"/>
      <c r="L4" s="8"/>
    </row>
    <row r="5" spans="1:12" ht="15.75" x14ac:dyDescent="0.25">
      <c r="A5" s="2" t="s">
        <v>4</v>
      </c>
      <c r="B5" s="3">
        <f>SUM(H47:H59)</f>
        <v>8044.4900000000007</v>
      </c>
      <c r="C5" s="11"/>
      <c r="D5" s="5"/>
      <c r="E5" s="4"/>
      <c r="G5" s="6">
        <v>43146</v>
      </c>
      <c r="H5" s="7">
        <v>971.87</v>
      </c>
      <c r="I5" s="187" t="s">
        <v>46</v>
      </c>
      <c r="J5" s="188"/>
      <c r="K5" s="8" t="s">
        <v>520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43146</v>
      </c>
      <c r="H6" s="7">
        <v>800</v>
      </c>
      <c r="I6" s="187"/>
      <c r="J6" s="188"/>
      <c r="K6" s="8" t="s">
        <v>709</v>
      </c>
      <c r="L6" s="8" t="s">
        <v>267</v>
      </c>
    </row>
    <row r="7" spans="1:12" ht="15.75" x14ac:dyDescent="0.25">
      <c r="A7" s="12" t="s">
        <v>5</v>
      </c>
      <c r="B7" s="25">
        <f>B3+B4-B5</f>
        <v>25776.629999999994</v>
      </c>
      <c r="C7" s="11"/>
      <c r="D7" s="22"/>
      <c r="E7" s="4"/>
      <c r="G7" s="6">
        <v>43146</v>
      </c>
      <c r="H7" s="7">
        <v>1500</v>
      </c>
      <c r="I7" s="187"/>
      <c r="J7" s="188"/>
      <c r="K7" s="8" t="s">
        <v>487</v>
      </c>
      <c r="L7" s="8"/>
    </row>
    <row r="8" spans="1:12" ht="15.75" x14ac:dyDescent="0.25">
      <c r="A8" s="2"/>
      <c r="B8" s="3"/>
      <c r="C8" s="11"/>
      <c r="D8" s="22"/>
      <c r="E8" s="4"/>
      <c r="G8" s="6">
        <v>43147</v>
      </c>
      <c r="H8" s="7">
        <v>1000</v>
      </c>
      <c r="I8" s="187" t="s">
        <v>46</v>
      </c>
      <c r="J8" s="188"/>
      <c r="K8" s="8" t="s">
        <v>765</v>
      </c>
      <c r="L8" s="8" t="s">
        <v>268</v>
      </c>
    </row>
    <row r="9" spans="1:12" ht="15.75" x14ac:dyDescent="0.25">
      <c r="A9" s="2" t="s">
        <v>14</v>
      </c>
      <c r="B9" s="3">
        <f>B7*0.1</f>
        <v>2577.6629999999996</v>
      </c>
      <c r="C9" s="11"/>
      <c r="D9" s="44"/>
      <c r="E9" s="4"/>
      <c r="G9" s="6">
        <v>43147</v>
      </c>
      <c r="H9" s="7">
        <v>3200</v>
      </c>
      <c r="I9" s="187" t="s">
        <v>46</v>
      </c>
      <c r="J9" s="188"/>
      <c r="K9" s="8" t="s">
        <v>766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43153</v>
      </c>
      <c r="H10" s="7">
        <v>480</v>
      </c>
      <c r="I10" s="187" t="s">
        <v>46</v>
      </c>
      <c r="J10" s="188"/>
      <c r="K10" s="8" t="s">
        <v>720</v>
      </c>
      <c r="L10" s="8" t="s">
        <v>268</v>
      </c>
    </row>
    <row r="11" spans="1:12" ht="15.75" x14ac:dyDescent="0.25">
      <c r="A11" s="2" t="s">
        <v>59</v>
      </c>
      <c r="B11" s="3">
        <f>(B7-B9)/2</f>
        <v>11599.483499999997</v>
      </c>
      <c r="C11" s="11"/>
      <c r="D11" s="2"/>
      <c r="E11" s="4"/>
      <c r="F11" s="42"/>
      <c r="G11" s="6">
        <v>43153</v>
      </c>
      <c r="H11" s="7">
        <v>1000</v>
      </c>
      <c r="I11" s="187"/>
      <c r="J11" s="188"/>
      <c r="K11" s="8" t="s">
        <v>767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43154</v>
      </c>
      <c r="H12" s="7">
        <v>976.1</v>
      </c>
      <c r="I12" s="187" t="s">
        <v>769</v>
      </c>
      <c r="J12" s="188"/>
      <c r="K12" s="8" t="s">
        <v>770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>
        <v>43157</v>
      </c>
      <c r="H13" s="7">
        <v>1443.15</v>
      </c>
      <c r="I13" s="187" t="s">
        <v>771</v>
      </c>
      <c r="J13" s="188"/>
      <c r="K13" s="8" t="s">
        <v>768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43157</v>
      </c>
      <c r="H14" s="7">
        <v>375</v>
      </c>
      <c r="I14" s="187" t="s">
        <v>240</v>
      </c>
      <c r="J14" s="188"/>
      <c r="K14" s="8"/>
      <c r="L14" s="8"/>
    </row>
    <row r="15" spans="1:12" ht="15.75" x14ac:dyDescent="0.25">
      <c r="A15" s="2"/>
      <c r="B15" s="3"/>
      <c r="C15" s="11"/>
      <c r="D15" s="22"/>
      <c r="E15" s="4"/>
      <c r="G15" s="6">
        <v>43159</v>
      </c>
      <c r="H15" s="7">
        <v>600</v>
      </c>
      <c r="I15" s="187" t="s">
        <v>46</v>
      </c>
      <c r="J15" s="188"/>
      <c r="K15" s="8" t="s">
        <v>752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43165</v>
      </c>
      <c r="H16" s="7">
        <v>18075</v>
      </c>
      <c r="I16" s="187" t="s">
        <v>778</v>
      </c>
      <c r="J16" s="188"/>
      <c r="K16" s="8" t="s">
        <v>780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528</v>
      </c>
      <c r="G17" s="6">
        <v>43167</v>
      </c>
      <c r="H17" s="7">
        <v>1000</v>
      </c>
      <c r="I17" s="187" t="s">
        <v>327</v>
      </c>
      <c r="J17" s="188"/>
      <c r="K17" s="8" t="s">
        <v>773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43168</v>
      </c>
      <c r="H18" s="7">
        <v>500</v>
      </c>
      <c r="I18" s="187" t="s">
        <v>165</v>
      </c>
      <c r="J18" s="188"/>
      <c r="K18" s="8" t="s">
        <v>728</v>
      </c>
      <c r="L18" s="8" t="s">
        <v>267</v>
      </c>
    </row>
    <row r="19" spans="1:12" ht="15.75" x14ac:dyDescent="0.25">
      <c r="A19" s="2" t="s">
        <v>57</v>
      </c>
      <c r="B19" s="3">
        <f>B11-E17</f>
        <v>11071.483499999997</v>
      </c>
      <c r="C19" s="1"/>
      <c r="D19" s="2" t="s">
        <v>1</v>
      </c>
      <c r="E19" s="2" t="s">
        <v>6</v>
      </c>
      <c r="G19" s="6">
        <v>43168</v>
      </c>
      <c r="H19" s="7">
        <v>1500</v>
      </c>
      <c r="I19" s="187" t="s">
        <v>46</v>
      </c>
      <c r="J19" s="188"/>
      <c r="K19" s="8" t="s">
        <v>772</v>
      </c>
      <c r="L19" s="8" t="s">
        <v>268</v>
      </c>
    </row>
    <row r="20" spans="1:12" ht="15.75" x14ac:dyDescent="0.25">
      <c r="A20" s="2" t="s">
        <v>12</v>
      </c>
      <c r="B20" s="3">
        <f>B11-E25</f>
        <v>11599.483499999997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761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/>
      <c r="H26" s="7"/>
      <c r="I26" s="187"/>
      <c r="J26" s="188"/>
      <c r="K26" s="8"/>
      <c r="L26" s="8"/>
    </row>
    <row r="27" spans="1:12" ht="18.75" x14ac:dyDescent="0.3">
      <c r="A27" s="17"/>
      <c r="B27" s="17"/>
      <c r="C27" s="17"/>
      <c r="D27" s="178"/>
      <c r="E27" s="178"/>
      <c r="F27" s="9"/>
      <c r="G27" s="6"/>
      <c r="H27" s="7"/>
      <c r="I27" s="187"/>
      <c r="J27" s="188"/>
      <c r="K27" s="8"/>
      <c r="L27" s="8"/>
    </row>
    <row r="28" spans="1:12" ht="15.75" x14ac:dyDescent="0.25">
      <c r="A28" s="209"/>
      <c r="B28" s="209"/>
      <c r="C28" s="209"/>
      <c r="D28" s="209"/>
      <c r="E28" s="209"/>
      <c r="F28" s="209"/>
      <c r="G28" s="6"/>
      <c r="H28" s="7"/>
      <c r="I28" s="187"/>
      <c r="J28" s="188"/>
      <c r="K28" s="8"/>
      <c r="L28" s="8"/>
    </row>
    <row r="29" spans="1:12" ht="15.75" x14ac:dyDescent="0.25">
      <c r="A29" s="209"/>
      <c r="B29" s="209"/>
      <c r="C29" s="209"/>
      <c r="D29" s="209"/>
      <c r="E29" s="209"/>
      <c r="F29" s="209"/>
      <c r="G29" s="6"/>
      <c r="H29" s="7"/>
      <c r="I29" s="187"/>
      <c r="J29" s="188"/>
      <c r="K29" s="8"/>
      <c r="L29" s="8"/>
    </row>
    <row r="30" spans="1:12" ht="15.75" x14ac:dyDescent="0.25">
      <c r="A30" s="209"/>
      <c r="B30" s="209"/>
      <c r="C30" s="209"/>
      <c r="D30" s="209"/>
      <c r="E30" s="209"/>
      <c r="F30" s="209"/>
      <c r="G30" s="6"/>
      <c r="H30" s="7"/>
      <c r="I30" s="187"/>
      <c r="J30" s="188"/>
      <c r="K30" s="8"/>
      <c r="L30" s="8"/>
    </row>
    <row r="31" spans="1:12" ht="15.75" x14ac:dyDescent="0.25">
      <c r="A31" s="17"/>
      <c r="B31" s="29"/>
      <c r="C31" s="29"/>
      <c r="D31" s="29"/>
      <c r="E31" s="20"/>
      <c r="F31" s="1"/>
      <c r="G31" s="6"/>
      <c r="H31" s="7"/>
      <c r="I31" s="187"/>
      <c r="J31" s="188"/>
      <c r="K31" s="8"/>
      <c r="L31" s="8"/>
    </row>
    <row r="32" spans="1:12" ht="15.75" x14ac:dyDescent="0.25">
      <c r="A32" s="178"/>
      <c r="B32" s="178"/>
      <c r="C32" s="178"/>
      <c r="D32" s="178"/>
      <c r="E32" s="178"/>
      <c r="F32" s="178"/>
      <c r="G32" s="6"/>
      <c r="H32" s="7"/>
      <c r="I32" s="187"/>
      <c r="J32" s="188"/>
      <c r="K32" s="8"/>
      <c r="L32" s="8"/>
    </row>
    <row r="33" spans="1:12" ht="15.75" x14ac:dyDescent="0.25">
      <c r="A33" s="180"/>
      <c r="B33" s="180"/>
      <c r="C33" s="180"/>
      <c r="D33" s="180"/>
      <c r="E33" s="180"/>
      <c r="F33" s="180"/>
      <c r="G33" s="6"/>
      <c r="H33" s="7"/>
      <c r="I33" s="187"/>
      <c r="J33" s="188"/>
      <c r="K33" s="8"/>
      <c r="L33" s="8"/>
    </row>
    <row r="34" spans="1:12" ht="15.75" x14ac:dyDescent="0.25">
      <c r="G34" s="6"/>
      <c r="H34" s="7"/>
      <c r="I34" s="187"/>
      <c r="J34" s="188"/>
      <c r="K34" s="8"/>
      <c r="L34" s="8"/>
    </row>
    <row r="35" spans="1:12" ht="15.75" x14ac:dyDescent="0.25">
      <c r="G35" s="6"/>
      <c r="H35" s="7"/>
      <c r="I35" s="187"/>
      <c r="J35" s="188"/>
      <c r="K35" s="8"/>
      <c r="L35" s="8"/>
    </row>
    <row r="36" spans="1:12" ht="15.75" x14ac:dyDescent="0.25">
      <c r="G36" s="6"/>
      <c r="H36" s="7"/>
      <c r="I36" s="187"/>
      <c r="J36" s="188"/>
      <c r="K36" s="8"/>
      <c r="L36" s="8"/>
    </row>
    <row r="37" spans="1:12" ht="15.75" x14ac:dyDescent="0.25">
      <c r="G37" s="6"/>
      <c r="H37" s="7"/>
      <c r="I37" s="187"/>
      <c r="J37" s="188"/>
      <c r="K37" s="8"/>
      <c r="L37" s="8"/>
    </row>
    <row r="38" spans="1:12" ht="15.75" x14ac:dyDescent="0.25">
      <c r="G38" s="6" t="s">
        <v>23</v>
      </c>
      <c r="H38" s="193">
        <f>SUM(H3:H37)</f>
        <v>33821.119999999995</v>
      </c>
      <c r="I38" s="194"/>
      <c r="J38" s="194"/>
      <c r="K38" s="194"/>
      <c r="L38" s="195"/>
    </row>
    <row r="39" spans="1:12" ht="15.75" x14ac:dyDescent="0.25">
      <c r="G39" s="1"/>
      <c r="H39" s="1"/>
      <c r="I39" s="1"/>
      <c r="J39" s="1"/>
      <c r="K39" s="196" t="s">
        <v>761</v>
      </c>
      <c r="L39" s="196"/>
    </row>
    <row r="40" spans="1:12" x14ac:dyDescent="0.25">
      <c r="G40" s="180"/>
      <c r="H40" s="180"/>
      <c r="I40" s="180" t="s">
        <v>69</v>
      </c>
      <c r="J40" s="180"/>
      <c r="K40" s="180" t="s">
        <v>69</v>
      </c>
      <c r="L40" s="180"/>
    </row>
    <row r="41" spans="1:12" x14ac:dyDescent="0.25">
      <c r="G41" s="180"/>
      <c r="H41" s="180"/>
      <c r="I41" s="180" t="s">
        <v>65</v>
      </c>
      <c r="J41" s="180"/>
      <c r="K41" s="180" t="s">
        <v>67</v>
      </c>
      <c r="L41" s="180"/>
    </row>
    <row r="42" spans="1:12" x14ac:dyDescent="0.25">
      <c r="K42" s="180"/>
      <c r="L42" s="180"/>
    </row>
    <row r="43" spans="1:12" x14ac:dyDescent="0.25">
      <c r="K43" s="18"/>
      <c r="L43" s="18"/>
    </row>
    <row r="44" spans="1:12" x14ac:dyDescent="0.25">
      <c r="K44" s="18"/>
      <c r="L44" s="18"/>
    </row>
    <row r="45" spans="1:12" ht="18.75" x14ac:dyDescent="0.3">
      <c r="G45" s="184" t="s">
        <v>25</v>
      </c>
      <c r="H45" s="184"/>
      <c r="I45" s="184"/>
      <c r="J45" s="184"/>
      <c r="K45" s="180"/>
      <c r="L45" s="180"/>
    </row>
    <row r="46" spans="1:12" ht="15.75" x14ac:dyDescent="0.25">
      <c r="G46" s="2" t="s">
        <v>1</v>
      </c>
      <c r="H46" s="2" t="s">
        <v>6</v>
      </c>
      <c r="I46" s="182" t="s">
        <v>13</v>
      </c>
      <c r="J46" s="183"/>
      <c r="K46" s="180"/>
      <c r="L46" s="180"/>
    </row>
    <row r="47" spans="1:12" ht="15.75" x14ac:dyDescent="0.25">
      <c r="G47" s="6">
        <v>43157</v>
      </c>
      <c r="H47" s="7">
        <v>700</v>
      </c>
      <c r="I47" s="182" t="s">
        <v>173</v>
      </c>
      <c r="J47" s="183"/>
      <c r="K47" s="18"/>
      <c r="L47" s="18"/>
    </row>
    <row r="48" spans="1:12" ht="15.75" x14ac:dyDescent="0.25">
      <c r="G48" s="6">
        <v>43168</v>
      </c>
      <c r="H48" s="7">
        <v>84.88</v>
      </c>
      <c r="I48" s="182" t="s">
        <v>158</v>
      </c>
      <c r="J48" s="183"/>
      <c r="K48" s="18"/>
      <c r="L48" s="18"/>
    </row>
    <row r="49" spans="7:12" ht="15.75" x14ac:dyDescent="0.25">
      <c r="G49" s="6">
        <v>43168</v>
      </c>
      <c r="H49" s="7">
        <v>154.36000000000001</v>
      </c>
      <c r="I49" s="182" t="s">
        <v>500</v>
      </c>
      <c r="J49" s="183"/>
      <c r="K49" s="180"/>
      <c r="L49" s="180"/>
    </row>
    <row r="50" spans="7:12" ht="15.75" x14ac:dyDescent="0.25">
      <c r="G50" s="6">
        <v>43168</v>
      </c>
      <c r="H50" s="4">
        <v>159.44999999999999</v>
      </c>
      <c r="I50" s="182" t="s">
        <v>500</v>
      </c>
      <c r="J50" s="183"/>
      <c r="K50" s="180"/>
      <c r="L50" s="180"/>
    </row>
    <row r="51" spans="7:12" ht="15.75" x14ac:dyDescent="0.25">
      <c r="G51" s="6">
        <v>43171</v>
      </c>
      <c r="H51" s="4">
        <v>1500</v>
      </c>
      <c r="I51" s="182" t="s">
        <v>173</v>
      </c>
      <c r="J51" s="183"/>
    </row>
    <row r="52" spans="7:12" ht="15.75" x14ac:dyDescent="0.25">
      <c r="G52" s="6">
        <v>43171</v>
      </c>
      <c r="H52" s="4">
        <v>1000</v>
      </c>
      <c r="I52" s="182" t="s">
        <v>755</v>
      </c>
      <c r="J52" s="183"/>
    </row>
    <row r="53" spans="7:12" ht="15.75" x14ac:dyDescent="0.25">
      <c r="G53" s="6">
        <v>43168</v>
      </c>
      <c r="H53" s="4">
        <v>590</v>
      </c>
      <c r="I53" s="182" t="s">
        <v>777</v>
      </c>
      <c r="J53" s="183"/>
    </row>
    <row r="54" spans="7:12" ht="15.75" x14ac:dyDescent="0.25">
      <c r="G54" s="6">
        <v>43168</v>
      </c>
      <c r="H54" s="4">
        <v>3855.8</v>
      </c>
      <c r="I54" s="182" t="s">
        <v>781</v>
      </c>
      <c r="J54" s="183"/>
    </row>
    <row r="55" spans="7:12" ht="15.75" x14ac:dyDescent="0.25">
      <c r="G55" s="6"/>
      <c r="H55" s="4"/>
      <c r="I55" s="182"/>
      <c r="J55" s="183"/>
    </row>
    <row r="56" spans="7:12" ht="15.75" x14ac:dyDescent="0.25">
      <c r="G56" s="6"/>
      <c r="H56" s="4"/>
      <c r="I56" s="182"/>
      <c r="J56" s="183"/>
    </row>
    <row r="57" spans="7:12" ht="15.75" x14ac:dyDescent="0.25">
      <c r="G57" s="6"/>
      <c r="H57" s="35"/>
      <c r="I57" s="182"/>
      <c r="J57" s="183"/>
      <c r="K57" s="204" t="s">
        <v>750</v>
      </c>
      <c r="L57" s="205"/>
    </row>
    <row r="58" spans="7:12" ht="15.75" x14ac:dyDescent="0.25">
      <c r="G58" s="6"/>
      <c r="H58" s="35"/>
      <c r="I58" s="182"/>
      <c r="J58" s="183"/>
    </row>
    <row r="59" spans="7:12" ht="15.75" x14ac:dyDescent="0.25">
      <c r="G59" s="6"/>
      <c r="H59" s="35"/>
      <c r="I59" s="182"/>
      <c r="J59" s="183"/>
    </row>
    <row r="61" spans="7:12" x14ac:dyDescent="0.25">
      <c r="G61" s="180"/>
      <c r="H61" s="180"/>
      <c r="I61" s="180" t="s">
        <v>64</v>
      </c>
      <c r="J61" s="180"/>
      <c r="K61" s="180" t="s">
        <v>64</v>
      </c>
      <c r="L61" s="180"/>
    </row>
    <row r="62" spans="7:12" x14ac:dyDescent="0.25">
      <c r="G62" s="180"/>
      <c r="H62" s="180"/>
      <c r="I62" s="180" t="s">
        <v>65</v>
      </c>
      <c r="J62" s="180"/>
      <c r="K62" s="180" t="s">
        <v>67</v>
      </c>
      <c r="L62" s="180"/>
    </row>
  </sheetData>
  <mergeCells count="87">
    <mergeCell ref="I3:J3"/>
    <mergeCell ref="A1:B1"/>
    <mergeCell ref="D1:E1"/>
    <mergeCell ref="G1:L1"/>
    <mergeCell ref="A2:B2"/>
    <mergeCell ref="D2:E2"/>
    <mergeCell ref="I2:J2"/>
    <mergeCell ref="I4:J4"/>
    <mergeCell ref="I5:J5"/>
    <mergeCell ref="I6:J6"/>
    <mergeCell ref="I7:J7"/>
    <mergeCell ref="A24:B24"/>
    <mergeCell ref="I14:J14"/>
    <mergeCell ref="I15:J15"/>
    <mergeCell ref="I16:J16"/>
    <mergeCell ref="I8:J8"/>
    <mergeCell ref="I9:J9"/>
    <mergeCell ref="I11:J11"/>
    <mergeCell ref="I12:J12"/>
    <mergeCell ref="I13:J13"/>
    <mergeCell ref="I10:J10"/>
    <mergeCell ref="I22:J22"/>
    <mergeCell ref="I23:J23"/>
    <mergeCell ref="I24:J24"/>
    <mergeCell ref="I25:J25"/>
    <mergeCell ref="I26:J26"/>
    <mergeCell ref="I19:J19"/>
    <mergeCell ref="I20:J20"/>
    <mergeCell ref="A17:B17"/>
    <mergeCell ref="I21:J21"/>
    <mergeCell ref="D18:E18"/>
    <mergeCell ref="I18:J18"/>
    <mergeCell ref="I17:J17"/>
    <mergeCell ref="I41:J41"/>
    <mergeCell ref="I29:J29"/>
    <mergeCell ref="I30:J30"/>
    <mergeCell ref="I35:J35"/>
    <mergeCell ref="D27:E27"/>
    <mergeCell ref="I31:J31"/>
    <mergeCell ref="A28:F30"/>
    <mergeCell ref="I32:J32"/>
    <mergeCell ref="I33:J33"/>
    <mergeCell ref="I34:J34"/>
    <mergeCell ref="A32:B32"/>
    <mergeCell ref="C32:D32"/>
    <mergeCell ref="E32:F32"/>
    <mergeCell ref="I36:J36"/>
    <mergeCell ref="I28:J28"/>
    <mergeCell ref="I27:J27"/>
    <mergeCell ref="K40:L40"/>
    <mergeCell ref="A33:B33"/>
    <mergeCell ref="C33:D33"/>
    <mergeCell ref="E33:F33"/>
    <mergeCell ref="I37:J37"/>
    <mergeCell ref="H38:L38"/>
    <mergeCell ref="K39:L39"/>
    <mergeCell ref="G40:H40"/>
    <mergeCell ref="I40:J40"/>
    <mergeCell ref="K41:L41"/>
    <mergeCell ref="I52:J52"/>
    <mergeCell ref="I53:J53"/>
    <mergeCell ref="I51:J51"/>
    <mergeCell ref="K42:L42"/>
    <mergeCell ref="G45:J45"/>
    <mergeCell ref="K45:L45"/>
    <mergeCell ref="I46:J46"/>
    <mergeCell ref="K46:L46"/>
    <mergeCell ref="I47:J47"/>
    <mergeCell ref="I48:J48"/>
    <mergeCell ref="I49:J49"/>
    <mergeCell ref="K49:L49"/>
    <mergeCell ref="I50:J50"/>
    <mergeCell ref="K50:L50"/>
    <mergeCell ref="G41:H41"/>
    <mergeCell ref="I54:J54"/>
    <mergeCell ref="I55:J55"/>
    <mergeCell ref="I56:J56"/>
    <mergeCell ref="G62:H62"/>
    <mergeCell ref="I62:J62"/>
    <mergeCell ref="K62:L62"/>
    <mergeCell ref="K57:L57"/>
    <mergeCell ref="I58:J58"/>
    <mergeCell ref="I59:J59"/>
    <mergeCell ref="G61:H61"/>
    <mergeCell ref="I61:J61"/>
    <mergeCell ref="K61:L61"/>
    <mergeCell ref="I57:J57"/>
  </mergeCell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/>
  <dimension ref="A1:L47"/>
  <sheetViews>
    <sheetView topLeftCell="F1" workbookViewId="0">
      <selection activeCell="K10" sqref="K10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495</v>
      </c>
      <c r="B1" s="184"/>
      <c r="C1" s="10"/>
      <c r="D1" s="199" t="s">
        <v>55</v>
      </c>
      <c r="E1" s="200"/>
      <c r="G1" s="184" t="s">
        <v>776</v>
      </c>
      <c r="H1" s="184"/>
      <c r="I1" s="184"/>
      <c r="J1" s="184"/>
      <c r="K1" s="184"/>
      <c r="L1" s="184"/>
    </row>
    <row r="2" spans="1:12" ht="18.75" x14ac:dyDescent="0.3">
      <c r="A2" s="184" t="s">
        <v>449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6972.47</v>
      </c>
      <c r="C3" s="11"/>
      <c r="D3" s="5"/>
      <c r="E3" s="4"/>
      <c r="F3" s="42"/>
      <c r="G3" s="6">
        <v>43171</v>
      </c>
      <c r="H3" s="7">
        <v>585.66</v>
      </c>
      <c r="I3" s="187" t="s">
        <v>779</v>
      </c>
      <c r="J3" s="188"/>
      <c r="K3" s="8" t="s">
        <v>2268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43172</v>
      </c>
      <c r="H4" s="7">
        <v>1000</v>
      </c>
      <c r="I4" s="187"/>
      <c r="J4" s="188"/>
      <c r="K4" s="8" t="s">
        <v>737</v>
      </c>
      <c r="L4" s="8" t="s">
        <v>267</v>
      </c>
    </row>
    <row r="5" spans="1:12" ht="15.75" x14ac:dyDescent="0.25">
      <c r="A5" s="2" t="s">
        <v>4</v>
      </c>
      <c r="B5" s="3">
        <f>SUM(H35:H47)</f>
        <v>5300</v>
      </c>
      <c r="C5" s="11"/>
      <c r="D5" s="5"/>
      <c r="E5" s="4"/>
      <c r="G5" s="6">
        <v>43174</v>
      </c>
      <c r="H5" s="7">
        <v>300</v>
      </c>
      <c r="I5" s="187"/>
      <c r="J5" s="188"/>
      <c r="K5" s="8" t="s">
        <v>2224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43175</v>
      </c>
      <c r="H6" s="7">
        <v>200</v>
      </c>
      <c r="I6" s="187"/>
      <c r="J6" s="188"/>
      <c r="K6" s="8" t="s">
        <v>240</v>
      </c>
      <c r="L6" s="8"/>
    </row>
    <row r="7" spans="1:12" ht="15.75" x14ac:dyDescent="0.25">
      <c r="A7" s="12" t="s">
        <v>5</v>
      </c>
      <c r="B7" s="25">
        <f>B3+B4-B5</f>
        <v>1672.4700000000003</v>
      </c>
      <c r="C7" s="11"/>
      <c r="D7" s="22"/>
      <c r="E7" s="4"/>
      <c r="G7" s="6">
        <v>43175</v>
      </c>
      <c r="H7" s="7">
        <v>500</v>
      </c>
      <c r="I7" s="187" t="s">
        <v>814</v>
      </c>
      <c r="J7" s="188"/>
      <c r="K7" s="8" t="s">
        <v>2224</v>
      </c>
      <c r="L7" s="8"/>
    </row>
    <row r="8" spans="1:12" ht="15.75" x14ac:dyDescent="0.25">
      <c r="A8" s="2"/>
      <c r="B8" s="3"/>
      <c r="C8" s="11"/>
      <c r="D8" s="22"/>
      <c r="E8" s="4"/>
      <c r="G8" s="6">
        <v>43180</v>
      </c>
      <c r="H8" s="7">
        <v>500</v>
      </c>
      <c r="I8" s="187" t="s">
        <v>290</v>
      </c>
      <c r="J8" s="188"/>
      <c r="K8" s="8" t="s">
        <v>487</v>
      </c>
      <c r="L8" s="8" t="s">
        <v>268</v>
      </c>
    </row>
    <row r="9" spans="1:12" ht="15.75" x14ac:dyDescent="0.25">
      <c r="A9" s="2" t="s">
        <v>14</v>
      </c>
      <c r="B9" s="3">
        <f>B7*0.1</f>
        <v>167.24700000000004</v>
      </c>
      <c r="C9" s="11"/>
      <c r="D9" s="44"/>
      <c r="E9" s="4"/>
      <c r="G9" s="6">
        <v>43274</v>
      </c>
      <c r="H9" s="7">
        <v>480</v>
      </c>
      <c r="I9" s="187" t="s">
        <v>46</v>
      </c>
      <c r="J9" s="188"/>
      <c r="K9" s="8" t="s">
        <v>720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43185</v>
      </c>
      <c r="H10" s="7">
        <v>1500</v>
      </c>
      <c r="I10" s="187" t="s">
        <v>654</v>
      </c>
      <c r="J10" s="188"/>
      <c r="K10" s="8" t="s">
        <v>2215</v>
      </c>
      <c r="L10" s="8" t="s">
        <v>267</v>
      </c>
    </row>
    <row r="11" spans="1:12" ht="15.75" x14ac:dyDescent="0.25">
      <c r="A11" s="2" t="s">
        <v>59</v>
      </c>
      <c r="B11" s="3">
        <f>(B7-B9)/2</f>
        <v>752.61150000000009</v>
      </c>
      <c r="C11" s="11"/>
      <c r="D11" s="2"/>
      <c r="E11" s="4"/>
      <c r="F11" s="42"/>
      <c r="G11" s="6">
        <v>43185</v>
      </c>
      <c r="H11" s="7">
        <v>1000</v>
      </c>
      <c r="I11" s="36" t="s">
        <v>46</v>
      </c>
      <c r="J11" s="37"/>
      <c r="K11" s="8" t="s">
        <v>783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43192</v>
      </c>
      <c r="H12" s="7">
        <v>96.81</v>
      </c>
      <c r="I12" s="187" t="s">
        <v>785</v>
      </c>
      <c r="J12" s="188"/>
      <c r="K12" s="8" t="s">
        <v>784</v>
      </c>
      <c r="L12" s="8" t="s">
        <v>755</v>
      </c>
    </row>
    <row r="13" spans="1:12" ht="15.75" x14ac:dyDescent="0.25">
      <c r="A13" s="2"/>
      <c r="B13" s="3"/>
      <c r="C13" s="11"/>
      <c r="D13" s="5"/>
      <c r="E13" s="4"/>
      <c r="G13" s="6">
        <v>43196</v>
      </c>
      <c r="H13" s="7">
        <v>810</v>
      </c>
      <c r="I13" s="187" t="s">
        <v>46</v>
      </c>
      <c r="J13" s="188"/>
      <c r="K13" s="8" t="s">
        <v>786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/>
      <c r="H14" s="7"/>
      <c r="I14" s="187"/>
      <c r="J14" s="188"/>
      <c r="K14" s="8"/>
      <c r="L14" s="8"/>
    </row>
    <row r="15" spans="1:12" ht="15.75" x14ac:dyDescent="0.25">
      <c r="A15" s="2"/>
      <c r="B15" s="3"/>
      <c r="C15" s="11"/>
      <c r="D15" s="22"/>
      <c r="E15" s="4"/>
      <c r="G15" s="6"/>
      <c r="H15" s="7"/>
      <c r="I15" s="187"/>
      <c r="J15" s="188"/>
      <c r="K15" s="8"/>
      <c r="L15" s="8"/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752.61150000000009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752.61150000000009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774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6972.47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774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/>
      <c r="H35" s="7">
        <v>1000</v>
      </c>
      <c r="I35" s="182" t="s">
        <v>755</v>
      </c>
      <c r="J35" s="183"/>
      <c r="K35" s="18"/>
      <c r="L35" s="18"/>
    </row>
    <row r="36" spans="1:12" ht="15.75" x14ac:dyDescent="0.25">
      <c r="G36" s="6"/>
      <c r="H36" s="7">
        <v>700</v>
      </c>
      <c r="I36" s="182" t="s">
        <v>173</v>
      </c>
      <c r="J36" s="183"/>
      <c r="K36" s="18"/>
      <c r="L36" s="18"/>
    </row>
    <row r="37" spans="1:12" ht="15.75" x14ac:dyDescent="0.25">
      <c r="G37" s="6"/>
      <c r="H37" s="7"/>
      <c r="I37" s="182"/>
      <c r="J37" s="183"/>
      <c r="K37" s="180"/>
      <c r="L37" s="180"/>
    </row>
    <row r="38" spans="1:12" ht="15.75" x14ac:dyDescent="0.25">
      <c r="G38" s="6"/>
      <c r="H38" s="4">
        <v>2100</v>
      </c>
      <c r="I38" s="182" t="s">
        <v>438</v>
      </c>
      <c r="J38" s="183"/>
      <c r="K38" s="180"/>
      <c r="L38" s="180"/>
    </row>
    <row r="39" spans="1:12" ht="15.75" x14ac:dyDescent="0.25">
      <c r="G39" s="6"/>
      <c r="H39" s="4">
        <v>1500</v>
      </c>
      <c r="I39" s="182" t="s">
        <v>173</v>
      </c>
      <c r="J39" s="183"/>
    </row>
    <row r="40" spans="1:12" ht="15.75" x14ac:dyDescent="0.25">
      <c r="G40" s="6"/>
      <c r="H40" s="4"/>
      <c r="I40" s="182" t="s">
        <v>787</v>
      </c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775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8"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  <mergeCell ref="G33:J33"/>
    <mergeCell ref="K33:L33"/>
    <mergeCell ref="I34:J34"/>
    <mergeCell ref="K34:L34"/>
    <mergeCell ref="I35:J35"/>
    <mergeCell ref="A33:B33"/>
    <mergeCell ref="C33:D33"/>
    <mergeCell ref="D27:E27"/>
    <mergeCell ref="A24:B24"/>
    <mergeCell ref="I14:J14"/>
    <mergeCell ref="I15:J15"/>
    <mergeCell ref="I24:J24"/>
    <mergeCell ref="A28:F30"/>
    <mergeCell ref="I17:J17"/>
    <mergeCell ref="I18:J18"/>
    <mergeCell ref="I19:J19"/>
    <mergeCell ref="I20:J20"/>
    <mergeCell ref="I16:J16"/>
    <mergeCell ref="D18:E18"/>
    <mergeCell ref="E33:F33"/>
    <mergeCell ref="I22:J22"/>
    <mergeCell ref="I9:J9"/>
    <mergeCell ref="A32:B32"/>
    <mergeCell ref="C32:D32"/>
    <mergeCell ref="E32:F32"/>
    <mergeCell ref="I21:J21"/>
    <mergeCell ref="I23:J23"/>
    <mergeCell ref="I25:J25"/>
    <mergeCell ref="H26:L26"/>
    <mergeCell ref="K27:L27"/>
    <mergeCell ref="G28:H28"/>
    <mergeCell ref="I28:J28"/>
    <mergeCell ref="K28:L28"/>
    <mergeCell ref="G29:H29"/>
    <mergeCell ref="I29:J29"/>
    <mergeCell ref="K29:L29"/>
    <mergeCell ref="K30:L30"/>
    <mergeCell ref="I10:J10"/>
    <mergeCell ref="I13:J13"/>
    <mergeCell ref="A17:B17"/>
    <mergeCell ref="I12:J12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  <mergeCell ref="I8:J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6"/>
  <dimension ref="A1:L47"/>
  <sheetViews>
    <sheetView topLeftCell="F3" workbookViewId="0">
      <selection activeCell="G6" sqref="G6:K6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495</v>
      </c>
      <c r="B1" s="184"/>
      <c r="C1" s="10"/>
      <c r="D1" s="199" t="s">
        <v>55</v>
      </c>
      <c r="E1" s="200"/>
      <c r="G1" s="184" t="s">
        <v>794</v>
      </c>
      <c r="H1" s="184"/>
      <c r="I1" s="184"/>
      <c r="J1" s="184"/>
      <c r="K1" s="184"/>
      <c r="L1" s="184"/>
    </row>
    <row r="2" spans="1:12" ht="18.75" x14ac:dyDescent="0.3">
      <c r="A2" s="184" t="s">
        <v>449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8160.97</v>
      </c>
      <c r="C3" s="11"/>
      <c r="D3" s="5"/>
      <c r="E3" s="4"/>
      <c r="F3" s="42"/>
      <c r="G3" s="6">
        <v>43206</v>
      </c>
      <c r="H3" s="7">
        <v>1000</v>
      </c>
      <c r="I3" s="187" t="s">
        <v>327</v>
      </c>
      <c r="J3" s="188"/>
      <c r="K3" s="8" t="s">
        <v>2271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43207</v>
      </c>
      <c r="H4" s="7">
        <v>300</v>
      </c>
      <c r="I4" s="187" t="s">
        <v>290</v>
      </c>
      <c r="J4" s="188"/>
      <c r="K4" s="8" t="s">
        <v>186</v>
      </c>
      <c r="L4" s="8" t="s">
        <v>268</v>
      </c>
    </row>
    <row r="5" spans="1:12" ht="15.75" x14ac:dyDescent="0.25">
      <c r="A5" s="2" t="s">
        <v>4</v>
      </c>
      <c r="B5" s="3">
        <f>SUM(H35:H47)</f>
        <v>6300</v>
      </c>
      <c r="C5" s="11"/>
      <c r="D5" s="5"/>
      <c r="E5" s="4"/>
      <c r="G5" s="6">
        <v>43207</v>
      </c>
      <c r="H5" s="7">
        <v>500</v>
      </c>
      <c r="I5" s="187" t="s">
        <v>788</v>
      </c>
      <c r="J5" s="188"/>
      <c r="K5" s="8" t="s">
        <v>680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43208</v>
      </c>
      <c r="H6" s="7">
        <v>1500</v>
      </c>
      <c r="I6" s="187" t="s">
        <v>654</v>
      </c>
      <c r="J6" s="188"/>
      <c r="K6" s="8" t="s">
        <v>2215</v>
      </c>
      <c r="L6" s="8" t="s">
        <v>267</v>
      </c>
    </row>
    <row r="7" spans="1:12" ht="15.75" x14ac:dyDescent="0.25">
      <c r="A7" s="12" t="s">
        <v>5</v>
      </c>
      <c r="B7" s="25">
        <f>B3+B4-B5</f>
        <v>1860.9700000000003</v>
      </c>
      <c r="C7" s="11"/>
      <c r="D7" s="22"/>
      <c r="E7" s="4"/>
      <c r="G7" s="6">
        <v>43208</v>
      </c>
      <c r="H7" s="7">
        <v>858.17</v>
      </c>
      <c r="I7" s="187"/>
      <c r="J7" s="188"/>
      <c r="K7" s="8" t="s">
        <v>2224</v>
      </c>
      <c r="L7" s="8" t="s">
        <v>267</v>
      </c>
    </row>
    <row r="8" spans="1:12" ht="15.75" x14ac:dyDescent="0.25">
      <c r="A8" s="2"/>
      <c r="B8" s="3"/>
      <c r="C8" s="11"/>
      <c r="D8" s="22"/>
      <c r="E8" s="4"/>
      <c r="G8" s="6">
        <v>43213</v>
      </c>
      <c r="H8" s="7">
        <v>650</v>
      </c>
      <c r="I8" s="187"/>
      <c r="J8" s="188"/>
      <c r="K8" s="8" t="s">
        <v>2224</v>
      </c>
      <c r="L8" s="8" t="s">
        <v>267</v>
      </c>
    </row>
    <row r="9" spans="1:12" ht="15.75" x14ac:dyDescent="0.25">
      <c r="A9" s="2" t="s">
        <v>14</v>
      </c>
      <c r="B9" s="3">
        <f>B7*0.1</f>
        <v>186.09700000000004</v>
      </c>
      <c r="C9" s="11"/>
      <c r="D9" s="44"/>
      <c r="E9" s="4"/>
      <c r="G9" s="6">
        <v>43222</v>
      </c>
      <c r="H9" s="7">
        <v>1072.8</v>
      </c>
      <c r="I9" s="187" t="s">
        <v>788</v>
      </c>
      <c r="J9" s="188"/>
      <c r="K9" s="8" t="s">
        <v>789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43229</v>
      </c>
      <c r="H10" s="7">
        <v>1500</v>
      </c>
      <c r="I10" s="187" t="s">
        <v>791</v>
      </c>
      <c r="J10" s="188"/>
      <c r="K10" s="8" t="s">
        <v>790</v>
      </c>
      <c r="L10" s="8" t="s">
        <v>268</v>
      </c>
    </row>
    <row r="11" spans="1:12" ht="15.75" x14ac:dyDescent="0.25">
      <c r="A11" s="2" t="s">
        <v>59</v>
      </c>
      <c r="B11" s="3">
        <f>(B7-B9)/2</f>
        <v>837.43650000000014</v>
      </c>
      <c r="C11" s="11"/>
      <c r="D11" s="2"/>
      <c r="E11" s="4"/>
      <c r="F11" s="42"/>
      <c r="G11" s="6">
        <v>43228</v>
      </c>
      <c r="H11" s="7">
        <v>780</v>
      </c>
      <c r="I11" s="187" t="s">
        <v>788</v>
      </c>
      <c r="J11" s="188"/>
      <c r="K11" s="8" t="s">
        <v>792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/>
      <c r="H12" s="7"/>
      <c r="I12" s="187"/>
      <c r="J12" s="188"/>
      <c r="K12" s="8"/>
      <c r="L12" s="8"/>
    </row>
    <row r="13" spans="1:12" ht="15.75" x14ac:dyDescent="0.25">
      <c r="A13" s="2"/>
      <c r="B13" s="3"/>
      <c r="C13" s="11"/>
      <c r="D13" s="5"/>
      <c r="E13" s="4"/>
      <c r="G13" s="6"/>
      <c r="H13" s="7"/>
      <c r="I13" s="187"/>
      <c r="J13" s="188"/>
      <c r="K13" s="8"/>
      <c r="L13" s="8"/>
    </row>
    <row r="14" spans="1:12" ht="15.75" x14ac:dyDescent="0.25">
      <c r="A14" s="2"/>
      <c r="B14" s="3"/>
      <c r="C14" s="11"/>
      <c r="D14" s="5"/>
      <c r="E14" s="4"/>
      <c r="G14" s="6"/>
      <c r="H14" s="7"/>
      <c r="I14" s="187"/>
      <c r="J14" s="188"/>
      <c r="K14" s="8"/>
      <c r="L14" s="8"/>
    </row>
    <row r="15" spans="1:12" ht="15.75" x14ac:dyDescent="0.25">
      <c r="A15" s="2"/>
      <c r="B15" s="3"/>
      <c r="C15" s="11"/>
      <c r="D15" s="22"/>
      <c r="E15" s="4"/>
      <c r="G15" s="6"/>
      <c r="H15" s="7"/>
      <c r="I15" s="187"/>
      <c r="J15" s="188"/>
      <c r="K15" s="8"/>
      <c r="L15" s="8"/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837.43650000000014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837.43650000000014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774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8160.97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793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/>
      <c r="H35" s="7">
        <v>1000</v>
      </c>
      <c r="I35" s="182" t="s">
        <v>755</v>
      </c>
      <c r="J35" s="183"/>
      <c r="K35" s="18"/>
      <c r="L35" s="18"/>
    </row>
    <row r="36" spans="1:12" ht="15.75" x14ac:dyDescent="0.25">
      <c r="G36" s="6"/>
      <c r="H36" s="7">
        <v>700</v>
      </c>
      <c r="I36" s="182" t="s">
        <v>173</v>
      </c>
      <c r="J36" s="183"/>
      <c r="K36" s="18"/>
      <c r="L36" s="18"/>
    </row>
    <row r="37" spans="1:12" ht="15.75" x14ac:dyDescent="0.25">
      <c r="G37" s="6"/>
      <c r="H37" s="7">
        <v>1500</v>
      </c>
      <c r="I37" s="182" t="s">
        <v>173</v>
      </c>
      <c r="J37" s="183"/>
      <c r="K37" s="180"/>
      <c r="L37" s="180"/>
    </row>
    <row r="38" spans="1:12" ht="15.75" x14ac:dyDescent="0.25">
      <c r="G38" s="6"/>
      <c r="H38" s="4">
        <v>3100</v>
      </c>
      <c r="I38" s="182" t="s">
        <v>438</v>
      </c>
      <c r="J38" s="183"/>
      <c r="K38" s="180"/>
      <c r="L38" s="180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775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I9:J9"/>
    <mergeCell ref="I8:J8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  <mergeCell ref="I10:J10"/>
    <mergeCell ref="I12:J12"/>
    <mergeCell ref="I13:J13"/>
    <mergeCell ref="I14:J14"/>
    <mergeCell ref="A17:B17"/>
    <mergeCell ref="I17:J17"/>
    <mergeCell ref="I15:J15"/>
    <mergeCell ref="I11:J11"/>
    <mergeCell ref="I16:J16"/>
    <mergeCell ref="D18:E18"/>
    <mergeCell ref="I18:J18"/>
    <mergeCell ref="I20:J20"/>
    <mergeCell ref="I19:J19"/>
    <mergeCell ref="I21:J21"/>
    <mergeCell ref="I22:J22"/>
    <mergeCell ref="I23:J23"/>
    <mergeCell ref="A24:B24"/>
    <mergeCell ref="I24:J24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7"/>
  <dimension ref="A1:L47"/>
  <sheetViews>
    <sheetView topLeftCell="G4" workbookViewId="0">
      <selection activeCell="G15" sqref="G15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552</v>
      </c>
      <c r="B1" s="184"/>
      <c r="C1" s="10"/>
      <c r="D1" s="199" t="s">
        <v>55</v>
      </c>
      <c r="E1" s="200"/>
      <c r="G1" s="184" t="s">
        <v>795</v>
      </c>
      <c r="H1" s="184"/>
      <c r="I1" s="184"/>
      <c r="J1" s="184"/>
      <c r="K1" s="184"/>
      <c r="L1" s="184"/>
    </row>
    <row r="2" spans="1:12" ht="18.75" x14ac:dyDescent="0.3">
      <c r="A2" s="184" t="s">
        <v>513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10484.540000000001</v>
      </c>
      <c r="C3" s="11"/>
      <c r="D3" s="5"/>
      <c r="E3" s="4"/>
      <c r="F3" s="42"/>
      <c r="G3" s="6">
        <v>43234</v>
      </c>
      <c r="H3" s="7">
        <v>2192.54</v>
      </c>
      <c r="I3" s="187" t="s">
        <v>165</v>
      </c>
      <c r="J3" s="188"/>
      <c r="K3" s="8" t="s">
        <v>809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43236</v>
      </c>
      <c r="H4" s="7">
        <v>300</v>
      </c>
      <c r="I4" s="187" t="s">
        <v>796</v>
      </c>
      <c r="J4" s="188"/>
      <c r="K4" s="8" t="s">
        <v>186</v>
      </c>
      <c r="L4" s="8" t="s">
        <v>268</v>
      </c>
    </row>
    <row r="5" spans="1:12" ht="15.75" x14ac:dyDescent="0.25">
      <c r="A5" s="2" t="s">
        <v>4</v>
      </c>
      <c r="B5" s="3">
        <f>SUM(H35:H47)</f>
        <v>5300</v>
      </c>
      <c r="C5" s="11"/>
      <c r="D5" s="5"/>
      <c r="E5" s="4"/>
      <c r="G5" s="6">
        <v>43236</v>
      </c>
      <c r="H5" s="7">
        <v>250</v>
      </c>
      <c r="I5" s="187" t="s">
        <v>763</v>
      </c>
      <c r="J5" s="188"/>
      <c r="K5" s="8" t="s">
        <v>797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43237</v>
      </c>
      <c r="H6" s="7">
        <v>300</v>
      </c>
      <c r="I6" s="187" t="s">
        <v>46</v>
      </c>
      <c r="J6" s="188"/>
      <c r="K6" s="8" t="s">
        <v>680</v>
      </c>
      <c r="L6" s="8" t="s">
        <v>268</v>
      </c>
    </row>
    <row r="7" spans="1:12" ht="15.75" x14ac:dyDescent="0.25">
      <c r="A7" s="12" t="s">
        <v>5</v>
      </c>
      <c r="B7" s="25">
        <f>B3+B4-B5</f>
        <v>5184.5400000000009</v>
      </c>
      <c r="C7" s="11"/>
      <c r="D7" s="22"/>
      <c r="E7" s="4"/>
      <c r="G7" s="6">
        <v>43238</v>
      </c>
      <c r="H7" s="7">
        <v>200</v>
      </c>
      <c r="I7" s="187" t="s">
        <v>240</v>
      </c>
      <c r="J7" s="188"/>
      <c r="K7" s="8" t="s">
        <v>240</v>
      </c>
      <c r="L7" s="8"/>
    </row>
    <row r="8" spans="1:12" ht="15.75" x14ac:dyDescent="0.25">
      <c r="A8" s="2"/>
      <c r="B8" s="3"/>
      <c r="C8" s="11"/>
      <c r="D8" s="22"/>
      <c r="E8" s="4"/>
      <c r="G8" s="6">
        <v>43242</v>
      </c>
      <c r="H8" s="7">
        <v>1500</v>
      </c>
      <c r="I8" s="187" t="s">
        <v>654</v>
      </c>
      <c r="J8" s="188"/>
      <c r="K8" s="8" t="s">
        <v>2215</v>
      </c>
      <c r="L8" s="8" t="s">
        <v>267</v>
      </c>
    </row>
    <row r="9" spans="1:12" ht="15.75" x14ac:dyDescent="0.25">
      <c r="A9" s="2" t="s">
        <v>14</v>
      </c>
      <c r="B9" s="3">
        <f>B7*0.1</f>
        <v>518.45400000000006</v>
      </c>
      <c r="C9" s="11"/>
      <c r="D9" s="44"/>
      <c r="E9" s="4"/>
      <c r="G9" s="6">
        <v>43244</v>
      </c>
      <c r="H9" s="7">
        <v>2800</v>
      </c>
      <c r="I9" s="187" t="s">
        <v>763</v>
      </c>
      <c r="J9" s="188"/>
      <c r="K9" s="8" t="s">
        <v>186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43248</v>
      </c>
      <c r="H10" s="7">
        <v>600</v>
      </c>
      <c r="I10" s="187" t="s">
        <v>290</v>
      </c>
      <c r="J10" s="188"/>
      <c r="K10" s="8" t="s">
        <v>799</v>
      </c>
      <c r="L10" s="8" t="s">
        <v>268</v>
      </c>
    </row>
    <row r="11" spans="1:12" ht="15.75" x14ac:dyDescent="0.25">
      <c r="A11" s="2" t="s">
        <v>59</v>
      </c>
      <c r="B11" s="3">
        <f>(B7-B9)/2</f>
        <v>2333.0430000000006</v>
      </c>
      <c r="C11" s="11"/>
      <c r="D11" s="2"/>
      <c r="E11" s="4"/>
      <c r="F11" s="42"/>
      <c r="G11" s="6">
        <v>43249</v>
      </c>
      <c r="H11" s="7">
        <v>100</v>
      </c>
      <c r="I11" s="187" t="s">
        <v>798</v>
      </c>
      <c r="J11" s="188"/>
      <c r="K11" s="8" t="s">
        <v>2232</v>
      </c>
      <c r="L11" s="8" t="s">
        <v>755</v>
      </c>
    </row>
    <row r="12" spans="1:12" ht="15.75" x14ac:dyDescent="0.25">
      <c r="A12" s="2"/>
      <c r="B12" s="3"/>
      <c r="C12" s="11"/>
      <c r="D12" s="5"/>
      <c r="E12" s="4"/>
      <c r="G12" s="6">
        <v>43249</v>
      </c>
      <c r="H12" s="7">
        <v>250</v>
      </c>
      <c r="I12" s="187" t="s">
        <v>808</v>
      </c>
      <c r="J12" s="188"/>
      <c r="K12" s="8" t="s">
        <v>383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43255</v>
      </c>
      <c r="H13" s="7">
        <v>230</v>
      </c>
      <c r="I13" s="187" t="s">
        <v>800</v>
      </c>
      <c r="J13" s="188"/>
      <c r="K13" s="8" t="s">
        <v>151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43256</v>
      </c>
      <c r="H14" s="7">
        <v>762</v>
      </c>
      <c r="I14" s="187" t="s">
        <v>801</v>
      </c>
      <c r="J14" s="188"/>
      <c r="K14" s="8" t="s">
        <v>802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43258</v>
      </c>
      <c r="H15" s="7">
        <v>1000</v>
      </c>
      <c r="I15" s="187" t="s">
        <v>813</v>
      </c>
      <c r="J15" s="188"/>
      <c r="K15" s="8" t="s">
        <v>421</v>
      </c>
      <c r="L15" s="8" t="s">
        <v>267</v>
      </c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2333.0430000000006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2333.0430000000006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774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10484.540000000001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793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43240</v>
      </c>
      <c r="H35" s="7">
        <v>700</v>
      </c>
      <c r="I35" s="182" t="s">
        <v>173</v>
      </c>
      <c r="J35" s="183"/>
      <c r="K35" s="18"/>
      <c r="L35" s="18"/>
    </row>
    <row r="36" spans="1:12" ht="15.75" x14ac:dyDescent="0.25">
      <c r="G36" s="6">
        <v>43256</v>
      </c>
      <c r="H36" s="7">
        <v>1500</v>
      </c>
      <c r="I36" s="182" t="s">
        <v>173</v>
      </c>
      <c r="J36" s="183"/>
      <c r="K36" s="18"/>
      <c r="L36" s="18"/>
    </row>
    <row r="37" spans="1:12" ht="15.75" x14ac:dyDescent="0.25">
      <c r="G37" s="6">
        <v>43261</v>
      </c>
      <c r="H37" s="7">
        <v>1500</v>
      </c>
      <c r="I37" s="182" t="s">
        <v>755</v>
      </c>
      <c r="J37" s="183"/>
      <c r="K37" s="180"/>
      <c r="L37" s="180"/>
    </row>
    <row r="38" spans="1:12" ht="15.75" x14ac:dyDescent="0.25">
      <c r="G38" s="6">
        <v>43238</v>
      </c>
      <c r="H38" s="4">
        <v>1000</v>
      </c>
      <c r="I38" s="182" t="s">
        <v>806</v>
      </c>
      <c r="J38" s="183"/>
      <c r="K38" s="180"/>
      <c r="L38" s="180"/>
    </row>
    <row r="39" spans="1:12" ht="15.75" x14ac:dyDescent="0.25">
      <c r="G39" s="6">
        <v>43238</v>
      </c>
      <c r="H39" s="4">
        <v>600</v>
      </c>
      <c r="I39" s="182" t="s">
        <v>807</v>
      </c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775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24:B24"/>
    <mergeCell ref="I24:J24"/>
    <mergeCell ref="I16:J16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I3:J3"/>
    <mergeCell ref="I4:J4"/>
    <mergeCell ref="I5:J5"/>
    <mergeCell ref="I7:J7"/>
    <mergeCell ref="I8:J8"/>
    <mergeCell ref="A1:B1"/>
    <mergeCell ref="D1:E1"/>
    <mergeCell ref="G1:L1"/>
    <mergeCell ref="A2:B2"/>
    <mergeCell ref="D2:E2"/>
    <mergeCell ref="I2:J2"/>
    <mergeCell ref="I12:J12"/>
    <mergeCell ref="I10:J10"/>
    <mergeCell ref="I6:J6"/>
    <mergeCell ref="I15:J15"/>
    <mergeCell ref="I9:J9"/>
    <mergeCell ref="I13:J13"/>
    <mergeCell ref="I11:J11"/>
    <mergeCell ref="I14:J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L47"/>
  <sheetViews>
    <sheetView topLeftCell="G4" workbookViewId="0">
      <selection activeCell="G5" sqref="G5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553</v>
      </c>
      <c r="B1" s="184"/>
      <c r="C1" s="10"/>
      <c r="D1" s="199" t="s">
        <v>55</v>
      </c>
      <c r="E1" s="200"/>
      <c r="G1" s="184" t="s">
        <v>810</v>
      </c>
      <c r="H1" s="184"/>
      <c r="I1" s="184"/>
      <c r="J1" s="184"/>
      <c r="K1" s="184"/>
      <c r="L1" s="184"/>
    </row>
    <row r="2" spans="1:12" ht="18.75" x14ac:dyDescent="0.3">
      <c r="A2" s="184" t="s">
        <v>590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14646.76</v>
      </c>
      <c r="C3" s="11"/>
      <c r="D3" s="5"/>
      <c r="E3" s="4"/>
      <c r="F3" s="42"/>
      <c r="G3" s="6">
        <v>43263</v>
      </c>
      <c r="H3" s="7">
        <v>4500</v>
      </c>
      <c r="I3" s="187" t="s">
        <v>731</v>
      </c>
      <c r="J3" s="188"/>
      <c r="K3" s="8" t="s">
        <v>803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43263</v>
      </c>
      <c r="H4" s="7">
        <v>1050</v>
      </c>
      <c r="I4" s="187" t="s">
        <v>804</v>
      </c>
      <c r="J4" s="188"/>
      <c r="K4" s="8" t="s">
        <v>805</v>
      </c>
      <c r="L4" s="8" t="s">
        <v>268</v>
      </c>
    </row>
    <row r="5" spans="1:12" ht="15.75" x14ac:dyDescent="0.25">
      <c r="A5" s="2" t="s">
        <v>4</v>
      </c>
      <c r="B5" s="3">
        <f>SUM(H35:H47)</f>
        <v>5450</v>
      </c>
      <c r="C5" s="11"/>
      <c r="D5" s="5"/>
      <c r="E5" s="4"/>
      <c r="G5" s="6">
        <v>43264</v>
      </c>
      <c r="H5" s="7">
        <v>500</v>
      </c>
      <c r="I5" s="187" t="s">
        <v>800</v>
      </c>
      <c r="J5" s="188"/>
      <c r="K5" s="8" t="s">
        <v>815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43264</v>
      </c>
      <c r="H6" s="7">
        <v>1500</v>
      </c>
      <c r="I6" s="187" t="s">
        <v>819</v>
      </c>
      <c r="J6" s="188"/>
      <c r="K6" s="8" t="s">
        <v>419</v>
      </c>
      <c r="L6" s="8" t="s">
        <v>267</v>
      </c>
    </row>
    <row r="7" spans="1:12" ht="15.75" x14ac:dyDescent="0.25">
      <c r="A7" s="12" t="s">
        <v>5</v>
      </c>
      <c r="B7" s="25">
        <f>B3+B4-B5</f>
        <v>9196.76</v>
      </c>
      <c r="C7" s="11"/>
      <c r="D7" s="22"/>
      <c r="E7" s="4"/>
      <c r="G7" s="6">
        <v>43265</v>
      </c>
      <c r="H7" s="7">
        <v>250</v>
      </c>
      <c r="I7" s="187" t="s">
        <v>46</v>
      </c>
      <c r="J7" s="188"/>
      <c r="K7" s="8" t="s">
        <v>783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43265</v>
      </c>
      <c r="H8" s="7">
        <v>250</v>
      </c>
      <c r="I8" s="187" t="s">
        <v>817</v>
      </c>
      <c r="J8" s="188"/>
      <c r="K8" s="8" t="s">
        <v>818</v>
      </c>
      <c r="L8" s="8" t="s">
        <v>267</v>
      </c>
    </row>
    <row r="9" spans="1:12" ht="15.75" x14ac:dyDescent="0.25">
      <c r="A9" s="2" t="s">
        <v>14</v>
      </c>
      <c r="B9" s="3">
        <f>B7*0.1</f>
        <v>919.67600000000004</v>
      </c>
      <c r="C9" s="11"/>
      <c r="D9" s="44"/>
      <c r="E9" s="4"/>
      <c r="G9" s="6">
        <v>43266</v>
      </c>
      <c r="H9" s="7">
        <v>2516.7600000000002</v>
      </c>
      <c r="I9" s="187" t="s">
        <v>46</v>
      </c>
      <c r="J9" s="188"/>
      <c r="K9" s="8" t="s">
        <v>816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43266</v>
      </c>
      <c r="H10" s="7">
        <v>1000</v>
      </c>
      <c r="I10" s="187" t="s">
        <v>541</v>
      </c>
      <c r="J10" s="188"/>
      <c r="K10" s="8" t="s">
        <v>820</v>
      </c>
      <c r="L10" s="8" t="s">
        <v>267</v>
      </c>
    </row>
    <row r="11" spans="1:12" ht="15.75" x14ac:dyDescent="0.25">
      <c r="A11" s="2" t="s">
        <v>59</v>
      </c>
      <c r="B11" s="3">
        <f>(B7-B9)/2</f>
        <v>4138.5420000000004</v>
      </c>
      <c r="C11" s="11"/>
      <c r="D11" s="2"/>
      <c r="E11" s="4"/>
      <c r="F11" s="42"/>
      <c r="G11" s="6">
        <v>43269</v>
      </c>
      <c r="H11" s="7">
        <v>180</v>
      </c>
      <c r="I11" s="187" t="s">
        <v>240</v>
      </c>
      <c r="J11" s="188"/>
      <c r="K11" s="8"/>
      <c r="L11" s="8"/>
    </row>
    <row r="12" spans="1:12" ht="15.75" x14ac:dyDescent="0.25">
      <c r="A12" s="2"/>
      <c r="B12" s="3"/>
      <c r="C12" s="11"/>
      <c r="D12" s="5"/>
      <c r="E12" s="4"/>
      <c r="G12" s="6">
        <v>43270</v>
      </c>
      <c r="H12" s="7">
        <v>1000</v>
      </c>
      <c r="I12" s="187"/>
      <c r="J12" s="188"/>
      <c r="K12" s="8" t="s">
        <v>2224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>
        <v>43271</v>
      </c>
      <c r="H13" s="7">
        <v>300</v>
      </c>
      <c r="I13" s="187" t="s">
        <v>290</v>
      </c>
      <c r="J13" s="188"/>
      <c r="K13" s="8" t="s">
        <v>186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43276</v>
      </c>
      <c r="H14" s="7">
        <v>1000</v>
      </c>
      <c r="I14" s="187" t="s">
        <v>821</v>
      </c>
      <c r="J14" s="188"/>
      <c r="K14" s="8" t="s">
        <v>822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43284</v>
      </c>
      <c r="H15" s="7">
        <v>100</v>
      </c>
      <c r="I15" s="36" t="s">
        <v>798</v>
      </c>
      <c r="J15" s="37"/>
      <c r="K15" s="8" t="s">
        <v>2232</v>
      </c>
      <c r="L15" s="8" t="s">
        <v>755</v>
      </c>
    </row>
    <row r="16" spans="1:12" ht="15.75" x14ac:dyDescent="0.25">
      <c r="A16" s="2"/>
      <c r="B16" s="2"/>
      <c r="C16" s="1"/>
      <c r="D16" s="22"/>
      <c r="E16" s="4"/>
      <c r="G16" s="6">
        <v>43292</v>
      </c>
      <c r="H16" s="7">
        <v>500</v>
      </c>
      <c r="I16" s="36" t="s">
        <v>327</v>
      </c>
      <c r="J16" s="37"/>
      <c r="K16" s="8" t="s">
        <v>773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4138.5420000000004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4138.5420000000004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811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14646.76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811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/>
      <c r="H35" s="7">
        <v>700</v>
      </c>
      <c r="I35" s="182" t="s">
        <v>173</v>
      </c>
      <c r="J35" s="183"/>
      <c r="K35" s="18"/>
      <c r="L35" s="18"/>
    </row>
    <row r="36" spans="1:12" ht="15.75" x14ac:dyDescent="0.25">
      <c r="G36" s="6"/>
      <c r="H36" s="7">
        <v>1100</v>
      </c>
      <c r="I36" s="182" t="s">
        <v>806</v>
      </c>
      <c r="J36" s="183"/>
      <c r="K36" s="18"/>
      <c r="L36" s="18"/>
    </row>
    <row r="37" spans="1:12" ht="15.75" x14ac:dyDescent="0.25">
      <c r="G37" s="6"/>
      <c r="H37" s="7">
        <v>1500</v>
      </c>
      <c r="I37" s="182" t="s">
        <v>173</v>
      </c>
      <c r="J37" s="183"/>
      <c r="K37" s="180"/>
      <c r="L37" s="180"/>
    </row>
    <row r="38" spans="1:12" ht="15.75" x14ac:dyDescent="0.25">
      <c r="G38" s="6"/>
      <c r="H38" s="4">
        <v>1500</v>
      </c>
      <c r="I38" s="182" t="s">
        <v>755</v>
      </c>
      <c r="J38" s="183"/>
      <c r="K38" s="180"/>
      <c r="L38" s="180"/>
    </row>
    <row r="39" spans="1:12" ht="15.75" x14ac:dyDescent="0.25">
      <c r="G39" s="6"/>
      <c r="H39" s="4">
        <v>500</v>
      </c>
      <c r="I39" s="182" t="s">
        <v>823</v>
      </c>
      <c r="J39" s="183"/>
    </row>
    <row r="40" spans="1:12" ht="15.75" x14ac:dyDescent="0.25">
      <c r="G40" s="6"/>
      <c r="H40" s="4">
        <v>150</v>
      </c>
      <c r="I40" s="182" t="s">
        <v>824</v>
      </c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812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7">
    <mergeCell ref="A1:B1"/>
    <mergeCell ref="D1:E1"/>
    <mergeCell ref="G1:L1"/>
    <mergeCell ref="A2:B2"/>
    <mergeCell ref="D2:E2"/>
    <mergeCell ref="I2:J2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2:J12"/>
    <mergeCell ref="I13:J13"/>
    <mergeCell ref="A24:B24"/>
    <mergeCell ref="I24:J24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L47"/>
  <sheetViews>
    <sheetView topLeftCell="F7" workbookViewId="0">
      <selection activeCell="G9" sqref="G9:K9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627</v>
      </c>
      <c r="B1" s="184"/>
      <c r="C1" s="10"/>
      <c r="D1" s="199" t="s">
        <v>55</v>
      </c>
      <c r="E1" s="200"/>
      <c r="G1" s="184" t="s">
        <v>838</v>
      </c>
      <c r="H1" s="184"/>
      <c r="I1" s="184"/>
      <c r="J1" s="184"/>
      <c r="K1" s="184"/>
      <c r="L1" s="184"/>
    </row>
    <row r="2" spans="1:12" ht="18.75" x14ac:dyDescent="0.3">
      <c r="A2" s="184" t="s">
        <v>589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15369.04</v>
      </c>
      <c r="C3" s="11"/>
      <c r="D3" s="5"/>
      <c r="E3" s="4"/>
      <c r="F3" s="42"/>
      <c r="G3" s="6">
        <v>43292</v>
      </c>
      <c r="H3" s="7">
        <v>500</v>
      </c>
      <c r="I3" s="187" t="s">
        <v>327</v>
      </c>
      <c r="J3" s="188"/>
      <c r="K3" s="8" t="s">
        <v>773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43294</v>
      </c>
      <c r="H4" s="7">
        <v>200</v>
      </c>
      <c r="I4" s="187" t="s">
        <v>825</v>
      </c>
      <c r="J4" s="188"/>
      <c r="K4" s="8" t="s">
        <v>826</v>
      </c>
      <c r="L4" s="8" t="s">
        <v>268</v>
      </c>
    </row>
    <row r="5" spans="1:12" ht="15.75" x14ac:dyDescent="0.25">
      <c r="A5" s="2" t="s">
        <v>4</v>
      </c>
      <c r="B5" s="3">
        <f>SUM(H35:H47)</f>
        <v>5645.08</v>
      </c>
      <c r="C5" s="11"/>
      <c r="D5" s="5"/>
      <c r="E5" s="4"/>
      <c r="G5" s="6">
        <v>43297</v>
      </c>
      <c r="H5" s="7">
        <v>1500</v>
      </c>
      <c r="I5" s="187" t="s">
        <v>46</v>
      </c>
      <c r="J5" s="188"/>
      <c r="K5" s="8" t="s">
        <v>827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43301</v>
      </c>
      <c r="H6" s="7">
        <v>150</v>
      </c>
      <c r="I6" s="187" t="s">
        <v>828</v>
      </c>
      <c r="J6" s="188"/>
      <c r="K6" s="8" t="s">
        <v>829</v>
      </c>
      <c r="L6" s="8" t="s">
        <v>268</v>
      </c>
    </row>
    <row r="7" spans="1:12" ht="15.75" x14ac:dyDescent="0.25">
      <c r="A7" s="12" t="s">
        <v>5</v>
      </c>
      <c r="B7" s="25">
        <f>B3+B4-B5</f>
        <v>9723.9600000000009</v>
      </c>
      <c r="C7" s="11"/>
      <c r="D7" s="22"/>
      <c r="E7" s="4"/>
      <c r="G7" s="6">
        <v>43301</v>
      </c>
      <c r="H7" s="7">
        <v>300</v>
      </c>
      <c r="I7" s="187" t="s">
        <v>290</v>
      </c>
      <c r="J7" s="188"/>
      <c r="K7" s="8" t="s">
        <v>186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43305</v>
      </c>
      <c r="H8" s="7">
        <v>286</v>
      </c>
      <c r="I8" s="187" t="s">
        <v>46</v>
      </c>
      <c r="J8" s="188"/>
      <c r="K8" s="8" t="s">
        <v>792</v>
      </c>
      <c r="L8" s="8" t="s">
        <v>268</v>
      </c>
    </row>
    <row r="9" spans="1:12" ht="15.75" x14ac:dyDescent="0.25">
      <c r="A9" s="2" t="s">
        <v>14</v>
      </c>
      <c r="B9" s="3">
        <f>B7*0.1</f>
        <v>972.39600000000019</v>
      </c>
      <c r="C9" s="11"/>
      <c r="D9" s="44"/>
      <c r="E9" s="4"/>
      <c r="G9" s="6">
        <v>43308</v>
      </c>
      <c r="H9" s="7">
        <v>1990</v>
      </c>
      <c r="I9" s="36" t="s">
        <v>719</v>
      </c>
      <c r="J9" s="37"/>
      <c r="K9" s="8" t="s">
        <v>2215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43311</v>
      </c>
      <c r="H10" s="7">
        <v>500</v>
      </c>
      <c r="I10" s="36"/>
      <c r="J10" s="37"/>
      <c r="K10" s="8" t="s">
        <v>240</v>
      </c>
      <c r="L10" s="8"/>
    </row>
    <row r="11" spans="1:12" ht="15.75" x14ac:dyDescent="0.25">
      <c r="A11" s="2" t="s">
        <v>59</v>
      </c>
      <c r="B11" s="3">
        <f>(B7-B9)/2</f>
        <v>4375.7820000000002</v>
      </c>
      <c r="C11" s="11"/>
      <c r="D11" s="2"/>
      <c r="E11" s="4"/>
      <c r="F11" s="42"/>
      <c r="G11" s="6">
        <v>43315</v>
      </c>
      <c r="H11" s="7">
        <v>4050</v>
      </c>
      <c r="I11" s="36" t="s">
        <v>830</v>
      </c>
      <c r="J11" s="37"/>
      <c r="K11" s="8" t="s">
        <v>831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43318</v>
      </c>
      <c r="H12" s="7">
        <v>2370.2399999999998</v>
      </c>
      <c r="I12" s="36" t="s">
        <v>830</v>
      </c>
      <c r="J12" s="37"/>
      <c r="K12" s="8" t="s">
        <v>832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43319</v>
      </c>
      <c r="H13" s="7">
        <v>500</v>
      </c>
      <c r="I13" s="36" t="s">
        <v>833</v>
      </c>
      <c r="J13" s="37"/>
      <c r="K13" s="8" t="s">
        <v>834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43322</v>
      </c>
      <c r="H14" s="7">
        <v>3022.8</v>
      </c>
      <c r="I14" s="36" t="s">
        <v>46</v>
      </c>
      <c r="J14" s="37"/>
      <c r="K14" s="8" t="s">
        <v>845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/>
      <c r="H15" s="7"/>
      <c r="I15" s="187"/>
      <c r="J15" s="188"/>
      <c r="K15" s="8"/>
      <c r="L15" s="8"/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4375.7820000000002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4375.7820000000002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837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15369.04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837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/>
      <c r="H35" s="7">
        <v>700</v>
      </c>
      <c r="I35" s="182" t="s">
        <v>173</v>
      </c>
      <c r="J35" s="183"/>
      <c r="K35" s="18"/>
      <c r="L35" s="18"/>
    </row>
    <row r="36" spans="1:12" ht="15.75" x14ac:dyDescent="0.25">
      <c r="G36" s="6"/>
      <c r="H36" s="7">
        <v>1100</v>
      </c>
      <c r="I36" s="182" t="s">
        <v>806</v>
      </c>
      <c r="J36" s="183"/>
      <c r="K36" s="18"/>
      <c r="L36" s="18"/>
    </row>
    <row r="37" spans="1:12" ht="15.75" x14ac:dyDescent="0.25">
      <c r="G37" s="6"/>
      <c r="H37" s="7">
        <v>1500</v>
      </c>
      <c r="I37" s="182" t="s">
        <v>173</v>
      </c>
      <c r="J37" s="183"/>
      <c r="K37" s="180"/>
      <c r="L37" s="180"/>
    </row>
    <row r="38" spans="1:12" ht="15.75" x14ac:dyDescent="0.25">
      <c r="G38" s="6"/>
      <c r="H38" s="4">
        <v>1500</v>
      </c>
      <c r="I38" s="182" t="s">
        <v>755</v>
      </c>
      <c r="J38" s="183"/>
      <c r="K38" s="180"/>
      <c r="L38" s="180"/>
    </row>
    <row r="39" spans="1:12" ht="15.75" x14ac:dyDescent="0.25">
      <c r="G39" s="6">
        <v>43313</v>
      </c>
      <c r="H39" s="4">
        <v>845.08</v>
      </c>
      <c r="I39" s="182" t="s">
        <v>835</v>
      </c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836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3"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  <mergeCell ref="I8:J8"/>
    <mergeCell ref="A24:B24"/>
    <mergeCell ref="I24:J24"/>
    <mergeCell ref="I15:J15"/>
    <mergeCell ref="I16:J16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L47"/>
  <sheetViews>
    <sheetView topLeftCell="H1" workbookViewId="0">
      <selection activeCell="K5" sqref="K5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628</v>
      </c>
      <c r="B1" s="184"/>
      <c r="C1" s="10"/>
      <c r="D1" s="199" t="s">
        <v>55</v>
      </c>
      <c r="E1" s="200"/>
      <c r="G1" s="184" t="s">
        <v>839</v>
      </c>
      <c r="H1" s="184"/>
      <c r="I1" s="184"/>
      <c r="J1" s="184"/>
      <c r="K1" s="184"/>
      <c r="L1" s="184"/>
    </row>
    <row r="2" spans="1:12" ht="18.75" x14ac:dyDescent="0.3">
      <c r="A2" s="184" t="s">
        <v>629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25641.02</v>
      </c>
      <c r="C3" s="11"/>
      <c r="D3" s="5"/>
      <c r="E3" s="4"/>
      <c r="F3" s="42"/>
      <c r="G3" s="6">
        <v>43326</v>
      </c>
      <c r="H3" s="7">
        <v>3000</v>
      </c>
      <c r="I3" s="187" t="s">
        <v>788</v>
      </c>
      <c r="J3" s="188"/>
      <c r="K3" s="8" t="s">
        <v>841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43328</v>
      </c>
      <c r="H4" s="7">
        <v>1000</v>
      </c>
      <c r="I4" s="187" t="s">
        <v>851</v>
      </c>
      <c r="J4" s="188"/>
      <c r="K4" s="8" t="s">
        <v>206</v>
      </c>
      <c r="L4" s="8" t="s">
        <v>267</v>
      </c>
    </row>
    <row r="5" spans="1:12" ht="15.75" x14ac:dyDescent="0.25">
      <c r="A5" s="2" t="s">
        <v>4</v>
      </c>
      <c r="B5" s="3">
        <f>SUM(H35:H47)</f>
        <v>8250</v>
      </c>
      <c r="C5" s="11"/>
      <c r="D5" s="5"/>
      <c r="E5" s="4"/>
      <c r="G5" s="6">
        <v>43328</v>
      </c>
      <c r="H5" s="7">
        <v>360</v>
      </c>
      <c r="I5" s="187" t="s">
        <v>788</v>
      </c>
      <c r="J5" s="188"/>
      <c r="K5" s="8" t="s">
        <v>843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43329</v>
      </c>
      <c r="H6" s="7">
        <v>286</v>
      </c>
      <c r="I6" s="187" t="s">
        <v>788</v>
      </c>
      <c r="J6" s="188"/>
      <c r="K6" s="8" t="s">
        <v>844</v>
      </c>
      <c r="L6" s="8" t="s">
        <v>268</v>
      </c>
    </row>
    <row r="7" spans="1:12" ht="15.75" x14ac:dyDescent="0.25">
      <c r="A7" s="12" t="s">
        <v>5</v>
      </c>
      <c r="B7" s="25">
        <f>B3+B4-B5</f>
        <v>17391.02</v>
      </c>
      <c r="C7" s="11"/>
      <c r="D7" s="22"/>
      <c r="E7" s="4"/>
      <c r="G7" s="6">
        <v>43332</v>
      </c>
      <c r="H7" s="7">
        <v>692.71</v>
      </c>
      <c r="I7" s="187" t="s">
        <v>842</v>
      </c>
      <c r="J7" s="188"/>
      <c r="K7" s="8" t="s">
        <v>2225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43333</v>
      </c>
      <c r="H8" s="7">
        <v>215</v>
      </c>
      <c r="I8" s="187" t="s">
        <v>847</v>
      </c>
      <c r="J8" s="188"/>
      <c r="K8" s="8" t="s">
        <v>846</v>
      </c>
      <c r="L8" s="8" t="s">
        <v>268</v>
      </c>
    </row>
    <row r="9" spans="1:12" ht="15.75" x14ac:dyDescent="0.25">
      <c r="A9" s="2" t="s">
        <v>14</v>
      </c>
      <c r="B9" s="3">
        <f>B7*0.1</f>
        <v>1739.1020000000001</v>
      </c>
      <c r="C9" s="11"/>
      <c r="D9" s="44"/>
      <c r="E9" s="4"/>
      <c r="G9" s="6">
        <v>43333</v>
      </c>
      <c r="H9" s="7">
        <v>1357.65</v>
      </c>
      <c r="I9" s="187" t="s">
        <v>852</v>
      </c>
      <c r="J9" s="188"/>
      <c r="K9" s="8" t="s">
        <v>853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43335</v>
      </c>
      <c r="H10" s="7">
        <v>175</v>
      </c>
      <c r="I10" s="187" t="s">
        <v>849</v>
      </c>
      <c r="J10" s="188"/>
      <c r="K10" s="8" t="s">
        <v>850</v>
      </c>
      <c r="L10" s="8" t="s">
        <v>268</v>
      </c>
    </row>
    <row r="11" spans="1:12" ht="15.75" x14ac:dyDescent="0.25">
      <c r="A11" s="2" t="s">
        <v>59</v>
      </c>
      <c r="B11" s="3">
        <f>(B7-B9)/2</f>
        <v>7825.9589999999998</v>
      </c>
      <c r="C11" s="11"/>
      <c r="D11" s="2"/>
      <c r="E11" s="4"/>
      <c r="F11" s="42"/>
      <c r="G11" s="6">
        <v>43335</v>
      </c>
      <c r="H11" s="7">
        <v>1990</v>
      </c>
      <c r="I11" s="187" t="s">
        <v>754</v>
      </c>
      <c r="J11" s="188"/>
      <c r="K11" s="8" t="s">
        <v>2215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43332</v>
      </c>
      <c r="H12" s="7">
        <v>300</v>
      </c>
      <c r="I12" s="187" t="s">
        <v>290</v>
      </c>
      <c r="J12" s="188"/>
      <c r="K12" s="8" t="s">
        <v>186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43336</v>
      </c>
      <c r="H13" s="7">
        <v>4250</v>
      </c>
      <c r="I13" s="187" t="s">
        <v>754</v>
      </c>
      <c r="J13" s="188"/>
      <c r="K13" s="8" t="s">
        <v>2262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43341</v>
      </c>
      <c r="H14" s="7">
        <v>6378.36</v>
      </c>
      <c r="I14" s="187" t="s">
        <v>733</v>
      </c>
      <c r="J14" s="188"/>
      <c r="K14" s="8" t="s">
        <v>854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43353</v>
      </c>
      <c r="H15" s="7">
        <v>250</v>
      </c>
      <c r="I15" s="187" t="s">
        <v>788</v>
      </c>
      <c r="J15" s="188"/>
      <c r="K15" s="8" t="s">
        <v>783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43356</v>
      </c>
      <c r="H16" s="7">
        <v>2886.3</v>
      </c>
      <c r="I16" s="187" t="s">
        <v>856</v>
      </c>
      <c r="J16" s="188"/>
      <c r="K16" s="8" t="s">
        <v>457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>
        <v>43356</v>
      </c>
      <c r="H17" s="7">
        <v>500</v>
      </c>
      <c r="I17" s="187" t="s">
        <v>855</v>
      </c>
      <c r="J17" s="188"/>
      <c r="K17" s="8" t="s">
        <v>834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43361</v>
      </c>
      <c r="H18" s="7">
        <v>2000</v>
      </c>
      <c r="I18" s="187" t="s">
        <v>857</v>
      </c>
      <c r="J18" s="188"/>
      <c r="K18" s="8" t="s">
        <v>507</v>
      </c>
      <c r="L18" s="8" t="s">
        <v>267</v>
      </c>
    </row>
    <row r="19" spans="1:12" ht="15.75" x14ac:dyDescent="0.25">
      <c r="A19" s="2" t="s">
        <v>57</v>
      </c>
      <c r="B19" s="3">
        <f>B11-E17</f>
        <v>7825.9589999999998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7825.9589999999998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840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25641.02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840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/>
      <c r="H35" s="7">
        <v>1800</v>
      </c>
      <c r="I35" s="182" t="s">
        <v>173</v>
      </c>
      <c r="J35" s="183"/>
      <c r="K35" s="18"/>
      <c r="L35" s="18"/>
    </row>
    <row r="36" spans="1:12" ht="15.75" x14ac:dyDescent="0.25">
      <c r="G36" s="6">
        <v>43328</v>
      </c>
      <c r="H36" s="7">
        <v>2100</v>
      </c>
      <c r="I36" s="182" t="s">
        <v>806</v>
      </c>
      <c r="J36" s="183"/>
      <c r="K36" s="18"/>
      <c r="L36" s="18"/>
    </row>
    <row r="37" spans="1:12" ht="15.75" x14ac:dyDescent="0.25">
      <c r="G37" s="6"/>
      <c r="H37" s="7"/>
      <c r="I37" s="182"/>
      <c r="J37" s="183"/>
      <c r="K37" s="180"/>
      <c r="L37" s="180"/>
    </row>
    <row r="38" spans="1:12" ht="15.75" x14ac:dyDescent="0.25">
      <c r="G38" s="6"/>
      <c r="H38" s="4">
        <v>4350</v>
      </c>
      <c r="I38" s="182" t="s">
        <v>755</v>
      </c>
      <c r="J38" s="183"/>
      <c r="K38" s="180"/>
      <c r="L38" s="180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848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A28:F30"/>
    <mergeCell ref="G28:H28"/>
    <mergeCell ref="I28:J28"/>
    <mergeCell ref="K28:L28"/>
    <mergeCell ref="G29:H29"/>
    <mergeCell ref="I29:J29"/>
    <mergeCell ref="K29:L29"/>
    <mergeCell ref="K30:L30"/>
    <mergeCell ref="A24:B24"/>
    <mergeCell ref="I24:J24"/>
    <mergeCell ref="I25:J25"/>
    <mergeCell ref="H26:L26"/>
    <mergeCell ref="D27:E27"/>
    <mergeCell ref="K27:L27"/>
    <mergeCell ref="I20:J20"/>
    <mergeCell ref="I19:J19"/>
    <mergeCell ref="I21:J21"/>
    <mergeCell ref="I22:J22"/>
    <mergeCell ref="I23:J23"/>
    <mergeCell ref="I10:J10"/>
    <mergeCell ref="A17:B17"/>
    <mergeCell ref="I17:J17"/>
    <mergeCell ref="D18:E18"/>
    <mergeCell ref="I18:J18"/>
    <mergeCell ref="I16:J16"/>
    <mergeCell ref="I15:J15"/>
    <mergeCell ref="I14:J14"/>
    <mergeCell ref="I13:J13"/>
    <mergeCell ref="I12:J12"/>
    <mergeCell ref="I11:J11"/>
    <mergeCell ref="I9:J9"/>
    <mergeCell ref="I8:J8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1"/>
  <dimension ref="A1:L47"/>
  <sheetViews>
    <sheetView topLeftCell="H1" workbookViewId="0">
      <selection activeCell="K3" sqref="K3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656</v>
      </c>
      <c r="B1" s="184"/>
      <c r="C1" s="10"/>
      <c r="D1" s="199" t="s">
        <v>55</v>
      </c>
      <c r="E1" s="200"/>
      <c r="G1" s="184" t="s">
        <v>858</v>
      </c>
      <c r="H1" s="184"/>
      <c r="I1" s="184"/>
      <c r="J1" s="184"/>
      <c r="K1" s="184"/>
      <c r="L1" s="184"/>
    </row>
    <row r="2" spans="1:12" ht="18.75" x14ac:dyDescent="0.3">
      <c r="A2" s="184" t="s">
        <v>657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16824.559999999998</v>
      </c>
      <c r="C3" s="11"/>
      <c r="D3" s="5"/>
      <c r="E3" s="4"/>
      <c r="F3" s="42"/>
      <c r="G3" s="6">
        <v>43356</v>
      </c>
      <c r="H3" s="7">
        <v>2886.3</v>
      </c>
      <c r="I3" s="187" t="s">
        <v>856</v>
      </c>
      <c r="J3" s="188"/>
      <c r="K3" s="8" t="s">
        <v>457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43356</v>
      </c>
      <c r="H4" s="7">
        <v>500</v>
      </c>
      <c r="I4" s="187" t="s">
        <v>855</v>
      </c>
      <c r="J4" s="188"/>
      <c r="K4" s="8" t="s">
        <v>834</v>
      </c>
      <c r="L4" s="8" t="s">
        <v>268</v>
      </c>
    </row>
    <row r="5" spans="1:12" ht="15.75" x14ac:dyDescent="0.25">
      <c r="A5" s="2" t="s">
        <v>4</v>
      </c>
      <c r="B5" s="3">
        <f>SUM(H35:H47)</f>
        <v>3550</v>
      </c>
      <c r="C5" s="11"/>
      <c r="D5" s="5"/>
      <c r="E5" s="4"/>
      <c r="G5" s="6">
        <v>43361</v>
      </c>
      <c r="H5" s="7">
        <v>2000</v>
      </c>
      <c r="I5" s="187" t="s">
        <v>857</v>
      </c>
      <c r="J5" s="188"/>
      <c r="K5" s="8" t="s">
        <v>507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43362</v>
      </c>
      <c r="H6" s="7">
        <v>300</v>
      </c>
      <c r="I6" s="187" t="s">
        <v>290</v>
      </c>
      <c r="J6" s="188"/>
      <c r="K6" s="8" t="s">
        <v>186</v>
      </c>
      <c r="L6" s="8" t="s">
        <v>268</v>
      </c>
    </row>
    <row r="7" spans="1:12" ht="15.75" x14ac:dyDescent="0.25">
      <c r="A7" s="12" t="s">
        <v>5</v>
      </c>
      <c r="B7" s="25">
        <f>B3+B4-B5</f>
        <v>13274.559999999998</v>
      </c>
      <c r="C7" s="11"/>
      <c r="D7" s="22"/>
      <c r="E7" s="4"/>
      <c r="G7" s="6">
        <v>43362</v>
      </c>
      <c r="H7" s="7">
        <v>2000</v>
      </c>
      <c r="I7" s="187" t="s">
        <v>290</v>
      </c>
      <c r="J7" s="188"/>
      <c r="K7" s="8" t="s">
        <v>859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43363</v>
      </c>
      <c r="H8" s="7">
        <v>1500</v>
      </c>
      <c r="I8" s="187" t="s">
        <v>46</v>
      </c>
      <c r="J8" s="188"/>
      <c r="K8" s="8" t="s">
        <v>860</v>
      </c>
      <c r="L8" s="8" t="s">
        <v>268</v>
      </c>
    </row>
    <row r="9" spans="1:12" ht="15.75" x14ac:dyDescent="0.25">
      <c r="A9" s="2" t="s">
        <v>14</v>
      </c>
      <c r="B9" s="3">
        <f>B7*0.1</f>
        <v>1327.4559999999999</v>
      </c>
      <c r="C9" s="11"/>
      <c r="D9" s="44"/>
      <c r="E9" s="4"/>
      <c r="G9" s="6">
        <v>43370</v>
      </c>
      <c r="H9" s="7">
        <v>3653.26</v>
      </c>
      <c r="I9" s="187" t="s">
        <v>855</v>
      </c>
      <c r="J9" s="188"/>
      <c r="K9" s="8" t="s">
        <v>834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43370</v>
      </c>
      <c r="H10" s="7">
        <v>2785</v>
      </c>
      <c r="I10" s="187" t="s">
        <v>46</v>
      </c>
      <c r="J10" s="188"/>
      <c r="K10" s="8" t="s">
        <v>846</v>
      </c>
      <c r="L10" s="8" t="s">
        <v>268</v>
      </c>
    </row>
    <row r="11" spans="1:12" ht="15.75" x14ac:dyDescent="0.25">
      <c r="A11" s="2" t="s">
        <v>59</v>
      </c>
      <c r="B11" s="3">
        <f>(B7-B9)/2</f>
        <v>5973.5519999999988</v>
      </c>
      <c r="C11" s="11"/>
      <c r="D11" s="2"/>
      <c r="E11" s="4"/>
      <c r="F11" s="42"/>
      <c r="G11" s="6">
        <v>43381</v>
      </c>
      <c r="H11" s="7">
        <v>1200</v>
      </c>
      <c r="I11" s="187" t="s">
        <v>290</v>
      </c>
      <c r="J11" s="188"/>
      <c r="K11" s="8" t="s">
        <v>861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/>
      <c r="H12" s="7"/>
      <c r="I12" s="187"/>
      <c r="J12" s="188"/>
      <c r="K12" s="8"/>
      <c r="L12" s="8"/>
    </row>
    <row r="13" spans="1:12" ht="15.75" x14ac:dyDescent="0.25">
      <c r="A13" s="2"/>
      <c r="B13" s="3"/>
      <c r="C13" s="11"/>
      <c r="D13" s="5"/>
      <c r="E13" s="4"/>
      <c r="G13" s="6"/>
      <c r="H13" s="7"/>
      <c r="I13" s="187"/>
      <c r="J13" s="188"/>
      <c r="K13" s="8"/>
      <c r="L13" s="8"/>
    </row>
    <row r="14" spans="1:12" ht="15.75" x14ac:dyDescent="0.25">
      <c r="A14" s="2"/>
      <c r="B14" s="3"/>
      <c r="C14" s="11"/>
      <c r="D14" s="5"/>
      <c r="E14" s="4"/>
      <c r="G14" s="6"/>
      <c r="H14" s="7"/>
      <c r="I14" s="187"/>
      <c r="J14" s="188"/>
      <c r="K14" s="8"/>
      <c r="L14" s="8"/>
    </row>
    <row r="15" spans="1:12" ht="15.75" x14ac:dyDescent="0.25">
      <c r="A15" s="2"/>
      <c r="B15" s="3"/>
      <c r="C15" s="11"/>
      <c r="D15" s="22"/>
      <c r="E15" s="4"/>
      <c r="G15" s="6"/>
      <c r="H15" s="7"/>
      <c r="I15" s="187"/>
      <c r="J15" s="188"/>
      <c r="K15" s="8"/>
      <c r="L15" s="8"/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5973.5519999999988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5973.5519999999988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840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16824.559999999998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840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/>
      <c r="H35" s="7">
        <v>1800</v>
      </c>
      <c r="I35" s="182" t="s">
        <v>173</v>
      </c>
      <c r="J35" s="183"/>
      <c r="K35" s="18"/>
      <c r="L35" s="18"/>
    </row>
    <row r="36" spans="1:12" ht="15.75" x14ac:dyDescent="0.25">
      <c r="G36" s="6">
        <v>43361</v>
      </c>
      <c r="H36" s="7">
        <v>1750</v>
      </c>
      <c r="I36" s="182" t="s">
        <v>806</v>
      </c>
      <c r="J36" s="183"/>
      <c r="K36" s="18"/>
      <c r="L36" s="18"/>
    </row>
    <row r="37" spans="1:12" ht="15.75" x14ac:dyDescent="0.25">
      <c r="G37" s="6"/>
      <c r="H37" s="7"/>
      <c r="I37" s="182"/>
      <c r="J37" s="183"/>
      <c r="K37" s="180"/>
      <c r="L37" s="180"/>
    </row>
    <row r="38" spans="1:12" ht="15.75" x14ac:dyDescent="0.25">
      <c r="G38" s="6"/>
      <c r="H38" s="4"/>
      <c r="I38" s="182"/>
      <c r="J38" s="183"/>
      <c r="K38" s="180"/>
      <c r="L38" s="180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4"/>
      <c r="I40" s="182"/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848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A1:B1"/>
    <mergeCell ref="D1:E1"/>
    <mergeCell ref="G1:L1"/>
    <mergeCell ref="A2:B2"/>
    <mergeCell ref="D2:E2"/>
    <mergeCell ref="I2:J2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2:J12"/>
    <mergeCell ref="I13:J13"/>
    <mergeCell ref="A24:B24"/>
    <mergeCell ref="I24:J24"/>
    <mergeCell ref="I15:J15"/>
    <mergeCell ref="I16:J16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2"/>
  <dimension ref="A1:L47"/>
  <sheetViews>
    <sheetView topLeftCell="H1" workbookViewId="0">
      <selection activeCell="K3" sqref="K3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689</v>
      </c>
      <c r="B1" s="184"/>
      <c r="C1" s="10"/>
      <c r="D1" s="199" t="s">
        <v>55</v>
      </c>
      <c r="E1" s="200"/>
      <c r="G1" s="184" t="s">
        <v>862</v>
      </c>
      <c r="H1" s="184"/>
      <c r="I1" s="184"/>
      <c r="J1" s="184"/>
      <c r="K1" s="184"/>
      <c r="L1" s="184"/>
    </row>
    <row r="2" spans="1:12" ht="18.75" x14ac:dyDescent="0.3">
      <c r="A2" s="184" t="s">
        <v>690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7923.57</v>
      </c>
      <c r="C3" s="11"/>
      <c r="D3" s="5"/>
      <c r="E3" s="4"/>
      <c r="F3" s="42"/>
      <c r="G3" s="6">
        <v>43384</v>
      </c>
      <c r="H3" s="7">
        <v>500</v>
      </c>
      <c r="I3" s="187" t="s">
        <v>682</v>
      </c>
      <c r="J3" s="188"/>
      <c r="K3" s="8" t="s">
        <v>866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/>
      <c r="G4" s="6">
        <v>43390</v>
      </c>
      <c r="H4" s="7">
        <v>250</v>
      </c>
      <c r="I4" s="187" t="s">
        <v>788</v>
      </c>
      <c r="J4" s="188"/>
      <c r="K4" s="8" t="s">
        <v>783</v>
      </c>
      <c r="L4" s="8" t="s">
        <v>268</v>
      </c>
    </row>
    <row r="5" spans="1:12" ht="15.75" x14ac:dyDescent="0.25">
      <c r="A5" s="2" t="s">
        <v>4</v>
      </c>
      <c r="B5" s="3">
        <f>SUM(H35:H47)</f>
        <v>6716.8</v>
      </c>
      <c r="C5" s="11"/>
      <c r="D5" s="5"/>
      <c r="E5" s="4"/>
      <c r="G5" s="6">
        <v>43388</v>
      </c>
      <c r="H5" s="7">
        <v>211.07</v>
      </c>
      <c r="I5" s="187" t="s">
        <v>830</v>
      </c>
      <c r="J5" s="188"/>
      <c r="K5" s="8" t="s">
        <v>863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43389</v>
      </c>
      <c r="H6" s="7">
        <v>1500</v>
      </c>
      <c r="I6" s="187" t="s">
        <v>788</v>
      </c>
      <c r="J6" s="188"/>
      <c r="K6" s="8" t="s">
        <v>860</v>
      </c>
      <c r="L6" s="8" t="s">
        <v>268</v>
      </c>
    </row>
    <row r="7" spans="1:12" ht="15.75" x14ac:dyDescent="0.25">
      <c r="A7" s="12" t="s">
        <v>5</v>
      </c>
      <c r="B7" s="25">
        <f>B3+B4-B5</f>
        <v>1206.7699999999995</v>
      </c>
      <c r="C7" s="11"/>
      <c r="D7" s="22"/>
      <c r="E7" s="4"/>
      <c r="G7" s="6">
        <v>43390</v>
      </c>
      <c r="H7" s="7">
        <v>1882.5</v>
      </c>
      <c r="I7" s="187" t="s">
        <v>788</v>
      </c>
      <c r="J7" s="188"/>
      <c r="K7" s="8" t="s">
        <v>864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43395</v>
      </c>
      <c r="H8" s="7">
        <v>2000</v>
      </c>
      <c r="I8" s="187" t="s">
        <v>562</v>
      </c>
      <c r="J8" s="188"/>
      <c r="K8" s="8" t="s">
        <v>866</v>
      </c>
      <c r="L8" s="8" t="s">
        <v>268</v>
      </c>
    </row>
    <row r="9" spans="1:12" ht="15.75" x14ac:dyDescent="0.25">
      <c r="A9" s="2" t="s">
        <v>14</v>
      </c>
      <c r="B9" s="3">
        <f>B7*0.1</f>
        <v>120.67699999999996</v>
      </c>
      <c r="C9" s="11"/>
      <c r="D9" s="44"/>
      <c r="E9" s="4"/>
      <c r="G9" s="6">
        <v>43396</v>
      </c>
      <c r="H9" s="7">
        <v>500</v>
      </c>
      <c r="I9" s="187" t="s">
        <v>290</v>
      </c>
      <c r="J9" s="188"/>
      <c r="K9" s="8" t="s">
        <v>867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43405</v>
      </c>
      <c r="H10" s="7">
        <v>420</v>
      </c>
      <c r="I10" s="187" t="s">
        <v>788</v>
      </c>
      <c r="J10" s="188"/>
      <c r="K10" s="8" t="s">
        <v>893</v>
      </c>
      <c r="L10" s="8" t="s">
        <v>268</v>
      </c>
    </row>
    <row r="11" spans="1:12" ht="15.75" x14ac:dyDescent="0.25">
      <c r="A11" s="2" t="s">
        <v>59</v>
      </c>
      <c r="B11" s="3">
        <f>(B7-B9)/2</f>
        <v>543.04649999999981</v>
      </c>
      <c r="C11" s="11"/>
      <c r="D11" s="2"/>
      <c r="E11" s="4"/>
      <c r="F11" s="42"/>
      <c r="G11" s="6">
        <v>43409</v>
      </c>
      <c r="H11" s="7">
        <v>460</v>
      </c>
      <c r="I11" s="187" t="s">
        <v>788</v>
      </c>
      <c r="J11" s="188"/>
      <c r="K11" s="8" t="s">
        <v>846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43410</v>
      </c>
      <c r="H12" s="7">
        <v>200</v>
      </c>
      <c r="I12" s="36" t="s">
        <v>868</v>
      </c>
      <c r="J12" s="37"/>
      <c r="K12" s="8" t="s">
        <v>419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/>
      <c r="H13" s="7"/>
      <c r="I13" s="187"/>
      <c r="J13" s="188"/>
      <c r="K13" s="8"/>
      <c r="L13" s="8"/>
    </row>
    <row r="14" spans="1:12" ht="15.75" x14ac:dyDescent="0.25">
      <c r="A14" s="2"/>
      <c r="B14" s="3"/>
      <c r="C14" s="11"/>
      <c r="D14" s="5"/>
      <c r="E14" s="4"/>
      <c r="G14" s="6"/>
      <c r="H14" s="7"/>
      <c r="I14" s="187"/>
      <c r="J14" s="188"/>
      <c r="K14" s="8"/>
      <c r="L14" s="8"/>
    </row>
    <row r="15" spans="1:12" ht="15.75" x14ac:dyDescent="0.25">
      <c r="A15" s="2"/>
      <c r="B15" s="3"/>
      <c r="C15" s="11"/>
      <c r="D15" s="22"/>
      <c r="E15" s="4"/>
      <c r="G15" s="6"/>
      <c r="H15" s="7"/>
      <c r="I15" s="187"/>
      <c r="J15" s="188"/>
      <c r="K15" s="8"/>
      <c r="L15" s="8"/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0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543.04649999999981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543.04649999999981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840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7923.57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840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43395</v>
      </c>
      <c r="H35" s="7">
        <v>1800</v>
      </c>
      <c r="I35" s="182" t="s">
        <v>173</v>
      </c>
      <c r="J35" s="183"/>
      <c r="K35" s="18"/>
      <c r="L35" s="18"/>
    </row>
    <row r="36" spans="1:12" ht="15.75" x14ac:dyDescent="0.25">
      <c r="G36" s="6">
        <v>43382</v>
      </c>
      <c r="H36" s="7">
        <v>1000</v>
      </c>
      <c r="I36" s="182" t="s">
        <v>806</v>
      </c>
      <c r="J36" s="183"/>
      <c r="K36" s="18"/>
      <c r="L36" s="18"/>
    </row>
    <row r="37" spans="1:12" ht="15.75" x14ac:dyDescent="0.25">
      <c r="G37" s="6">
        <v>43389</v>
      </c>
      <c r="H37" s="7">
        <v>1400</v>
      </c>
      <c r="I37" s="182" t="s">
        <v>806</v>
      </c>
      <c r="J37" s="183"/>
      <c r="K37" s="180"/>
      <c r="L37" s="180"/>
    </row>
    <row r="38" spans="1:12" ht="15.75" x14ac:dyDescent="0.25">
      <c r="G38" s="6">
        <v>43392</v>
      </c>
      <c r="H38" s="4">
        <v>100</v>
      </c>
      <c r="I38" s="182" t="s">
        <v>865</v>
      </c>
      <c r="J38" s="183"/>
      <c r="K38" s="180"/>
      <c r="L38" s="180"/>
    </row>
    <row r="39" spans="1:12" ht="15.75" x14ac:dyDescent="0.25">
      <c r="G39" s="6">
        <v>43405</v>
      </c>
      <c r="H39" s="4">
        <v>1272</v>
      </c>
      <c r="I39" s="182" t="s">
        <v>877</v>
      </c>
      <c r="J39" s="183"/>
    </row>
    <row r="40" spans="1:12" ht="15.75" x14ac:dyDescent="0.25">
      <c r="G40" s="6">
        <v>43405</v>
      </c>
      <c r="H40" s="4">
        <v>1144.8</v>
      </c>
      <c r="I40" s="182" t="s">
        <v>878</v>
      </c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848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8">
    <mergeCell ref="A1:B1"/>
    <mergeCell ref="D1:E1"/>
    <mergeCell ref="G1:L1"/>
    <mergeCell ref="A2:B2"/>
    <mergeCell ref="D2:E2"/>
    <mergeCell ref="I2:J2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3:J13"/>
    <mergeCell ref="A24:B24"/>
    <mergeCell ref="I24:J24"/>
    <mergeCell ref="I15:J15"/>
    <mergeCell ref="I16:J16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33"/>
  <dimension ref="A1:L47"/>
  <sheetViews>
    <sheetView topLeftCell="G1" workbookViewId="0">
      <selection activeCell="K6" sqref="K6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328</v>
      </c>
      <c r="B1" s="184"/>
      <c r="C1" s="10"/>
      <c r="D1" s="199" t="s">
        <v>55</v>
      </c>
      <c r="E1" s="200"/>
      <c r="G1" s="184" t="s">
        <v>870</v>
      </c>
      <c r="H1" s="184"/>
      <c r="I1" s="184"/>
      <c r="J1" s="184"/>
      <c r="K1" s="184"/>
      <c r="L1" s="184"/>
    </row>
    <row r="2" spans="1:12" ht="18.75" x14ac:dyDescent="0.3">
      <c r="A2" s="184" t="s">
        <v>739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15987.470000000001</v>
      </c>
      <c r="C3" s="11"/>
      <c r="D3" s="5"/>
      <c r="E3" s="4"/>
      <c r="F3" s="42"/>
      <c r="G3" s="6">
        <v>43416</v>
      </c>
      <c r="H3" s="7">
        <v>2000</v>
      </c>
      <c r="I3" s="187" t="s">
        <v>165</v>
      </c>
      <c r="J3" s="188"/>
      <c r="K3" s="8" t="s">
        <v>2240</v>
      </c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>
        <v>478.41</v>
      </c>
      <c r="F4" t="s">
        <v>901</v>
      </c>
      <c r="G4" s="6">
        <v>43416</v>
      </c>
      <c r="H4" s="7">
        <v>500</v>
      </c>
      <c r="I4" s="187" t="s">
        <v>872</v>
      </c>
      <c r="J4" s="188"/>
      <c r="K4" s="8" t="s">
        <v>871</v>
      </c>
      <c r="L4" s="8" t="s">
        <v>267</v>
      </c>
    </row>
    <row r="5" spans="1:12" ht="15.75" x14ac:dyDescent="0.25">
      <c r="A5" s="2" t="s">
        <v>4</v>
      </c>
      <c r="B5" s="3">
        <f>SUM(H35:H47)</f>
        <v>5591.69</v>
      </c>
      <c r="C5" s="11"/>
      <c r="D5" s="5"/>
      <c r="E5" s="4">
        <v>500</v>
      </c>
      <c r="F5" t="s">
        <v>904</v>
      </c>
      <c r="G5" s="6">
        <v>43416</v>
      </c>
      <c r="H5" s="7">
        <v>400</v>
      </c>
      <c r="I5" s="187" t="s">
        <v>873</v>
      </c>
      <c r="J5" s="188"/>
      <c r="K5" s="8" t="s">
        <v>874</v>
      </c>
      <c r="L5" s="8" t="s">
        <v>267</v>
      </c>
    </row>
    <row r="6" spans="1:12" ht="15.75" x14ac:dyDescent="0.25">
      <c r="A6" s="2"/>
      <c r="B6" s="3"/>
      <c r="C6" s="11"/>
      <c r="D6" s="22"/>
      <c r="E6" s="4"/>
      <c r="G6" s="6">
        <v>43417</v>
      </c>
      <c r="H6" s="7">
        <v>2978.18</v>
      </c>
      <c r="I6" s="187" t="s">
        <v>875</v>
      </c>
      <c r="J6" s="188"/>
      <c r="K6" s="8" t="s">
        <v>876</v>
      </c>
      <c r="L6" s="8" t="s">
        <v>268</v>
      </c>
    </row>
    <row r="7" spans="1:12" ht="15.75" x14ac:dyDescent="0.25">
      <c r="A7" s="12" t="s">
        <v>5</v>
      </c>
      <c r="B7" s="25">
        <f>B3+B4-B5</f>
        <v>10395.780000000002</v>
      </c>
      <c r="C7" s="11"/>
      <c r="D7" s="22"/>
      <c r="E7" s="4"/>
      <c r="G7" s="6">
        <v>43424</v>
      </c>
      <c r="H7" s="7">
        <v>500</v>
      </c>
      <c r="I7" s="187" t="s">
        <v>889</v>
      </c>
      <c r="J7" s="188"/>
      <c r="K7" s="8" t="s">
        <v>850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43425</v>
      </c>
      <c r="H8" s="7">
        <v>900</v>
      </c>
      <c r="I8" s="187" t="s">
        <v>883</v>
      </c>
      <c r="J8" s="188"/>
      <c r="K8" s="8" t="s">
        <v>884</v>
      </c>
      <c r="L8" s="8" t="s">
        <v>267</v>
      </c>
    </row>
    <row r="9" spans="1:12" ht="15.75" x14ac:dyDescent="0.25">
      <c r="A9" s="2"/>
      <c r="B9" s="3"/>
      <c r="C9" s="11"/>
      <c r="D9" s="44"/>
      <c r="E9" s="4"/>
      <c r="G9" s="6">
        <v>43426</v>
      </c>
      <c r="H9" s="7">
        <v>2000</v>
      </c>
      <c r="I9" s="187" t="s">
        <v>429</v>
      </c>
      <c r="J9" s="188"/>
      <c r="K9" s="8" t="s">
        <v>874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43427</v>
      </c>
      <c r="H10" s="7">
        <v>500</v>
      </c>
      <c r="I10" s="187" t="s">
        <v>551</v>
      </c>
      <c r="J10" s="188"/>
      <c r="K10" s="8" t="s">
        <v>2230</v>
      </c>
      <c r="L10" s="8" t="s">
        <v>267</v>
      </c>
    </row>
    <row r="11" spans="1:12" ht="15.75" x14ac:dyDescent="0.25">
      <c r="A11" s="2" t="s">
        <v>59</v>
      </c>
      <c r="B11" s="3">
        <f>(B7-B9)/2</f>
        <v>5197.8900000000012</v>
      </c>
      <c r="C11" s="11"/>
      <c r="D11" s="2"/>
      <c r="E11" s="4"/>
      <c r="F11" s="42"/>
      <c r="G11" s="6">
        <v>43430</v>
      </c>
      <c r="H11" s="7">
        <v>800</v>
      </c>
      <c r="I11" s="187" t="s">
        <v>886</v>
      </c>
      <c r="J11" s="188"/>
      <c r="K11" s="8" t="s">
        <v>887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43430</v>
      </c>
      <c r="H12" s="7">
        <v>420</v>
      </c>
      <c r="I12" s="187" t="s">
        <v>46</v>
      </c>
      <c r="J12" s="188"/>
      <c r="K12" s="8" t="s">
        <v>893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43433</v>
      </c>
      <c r="H13" s="7">
        <v>1000</v>
      </c>
      <c r="I13" s="187" t="s">
        <v>892</v>
      </c>
      <c r="J13" s="188"/>
      <c r="K13" s="8" t="s">
        <v>891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>
        <v>43434</v>
      </c>
      <c r="H14" s="7">
        <v>539.29</v>
      </c>
      <c r="I14" s="187" t="s">
        <v>429</v>
      </c>
      <c r="J14" s="188"/>
      <c r="K14" s="8" t="s">
        <v>224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43437</v>
      </c>
      <c r="H15" s="7">
        <v>250</v>
      </c>
      <c r="I15" s="187" t="s">
        <v>895</v>
      </c>
      <c r="J15" s="188"/>
      <c r="K15" s="8" t="s">
        <v>896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43439</v>
      </c>
      <c r="H16" s="7">
        <v>500</v>
      </c>
      <c r="I16" s="187" t="s">
        <v>165</v>
      </c>
      <c r="J16" s="188"/>
      <c r="K16" s="8" t="s">
        <v>509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978.41000000000008</v>
      </c>
      <c r="G17" s="6">
        <v>43440</v>
      </c>
      <c r="H17" s="7">
        <v>300</v>
      </c>
      <c r="I17" s="187" t="s">
        <v>855</v>
      </c>
      <c r="J17" s="188"/>
      <c r="K17" s="8" t="s">
        <v>419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43440</v>
      </c>
      <c r="H18" s="7">
        <v>300</v>
      </c>
      <c r="I18" s="187" t="s">
        <v>46</v>
      </c>
      <c r="J18" s="188"/>
      <c r="K18" s="8" t="s">
        <v>899</v>
      </c>
      <c r="L18" s="8" t="s">
        <v>268</v>
      </c>
    </row>
    <row r="19" spans="1:12" ht="15.75" x14ac:dyDescent="0.25">
      <c r="A19" s="2" t="s">
        <v>57</v>
      </c>
      <c r="B19" s="3">
        <f>B11-E17</f>
        <v>4219.4800000000014</v>
      </c>
      <c r="C19" s="1"/>
      <c r="D19" s="2" t="s">
        <v>1</v>
      </c>
      <c r="E19" s="2" t="s">
        <v>6</v>
      </c>
      <c r="G19" s="6">
        <v>43440</v>
      </c>
      <c r="H19" s="7">
        <v>400</v>
      </c>
      <c r="I19" s="187" t="s">
        <v>900</v>
      </c>
      <c r="J19" s="188"/>
      <c r="K19" s="8"/>
      <c r="L19" s="8" t="s">
        <v>267</v>
      </c>
    </row>
    <row r="20" spans="1:12" ht="15.75" x14ac:dyDescent="0.25">
      <c r="A20" s="2" t="s">
        <v>12</v>
      </c>
      <c r="B20" s="3">
        <f>B11-E25</f>
        <v>5197.8900000000012</v>
      </c>
      <c r="C20" s="1"/>
      <c r="D20" s="5"/>
      <c r="E20" s="21"/>
      <c r="G20" s="6">
        <v>43441</v>
      </c>
      <c r="H20" s="7">
        <v>700</v>
      </c>
      <c r="I20" s="187" t="s">
        <v>897</v>
      </c>
      <c r="J20" s="188"/>
      <c r="K20" s="8" t="s">
        <v>898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43444</v>
      </c>
      <c r="H21" s="7">
        <v>1000</v>
      </c>
      <c r="I21" s="187" t="s">
        <v>46</v>
      </c>
      <c r="J21" s="188"/>
      <c r="K21" s="8" t="s">
        <v>903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905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15987.470000000001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905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43416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43423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43424</v>
      </c>
      <c r="H37" s="7">
        <v>1800</v>
      </c>
      <c r="I37" s="182" t="s">
        <v>806</v>
      </c>
      <c r="J37" s="183"/>
      <c r="K37" s="180"/>
      <c r="L37" s="180"/>
    </row>
    <row r="38" spans="1:12" ht="15.75" x14ac:dyDescent="0.25">
      <c r="G38" s="6">
        <v>43424</v>
      </c>
      <c r="H38" s="4">
        <v>198.9</v>
      </c>
      <c r="I38" s="182" t="s">
        <v>880</v>
      </c>
      <c r="J38" s="183"/>
      <c r="K38" s="180"/>
      <c r="L38" s="180"/>
    </row>
    <row r="39" spans="1:12" ht="15.75" x14ac:dyDescent="0.25">
      <c r="G39" s="6">
        <v>43424</v>
      </c>
      <c r="H39" s="4">
        <v>24.88</v>
      </c>
      <c r="I39" s="182" t="s">
        <v>881</v>
      </c>
      <c r="J39" s="183"/>
    </row>
    <row r="40" spans="1:12" ht="15.75" x14ac:dyDescent="0.25">
      <c r="G40" s="6">
        <v>43427</v>
      </c>
      <c r="H40" s="4">
        <v>100.68</v>
      </c>
      <c r="I40" s="182" t="s">
        <v>885</v>
      </c>
      <c r="J40" s="183"/>
    </row>
    <row r="41" spans="1:12" ht="15.75" x14ac:dyDescent="0.25">
      <c r="G41" s="6">
        <v>43431</v>
      </c>
      <c r="H41" s="4">
        <v>146.12</v>
      </c>
      <c r="I41" s="182" t="s">
        <v>888</v>
      </c>
      <c r="J41" s="183"/>
    </row>
    <row r="42" spans="1:12" ht="15.75" x14ac:dyDescent="0.25">
      <c r="G42" s="6">
        <v>43431</v>
      </c>
      <c r="H42" s="4">
        <v>121.11</v>
      </c>
      <c r="I42" s="182" t="s">
        <v>890</v>
      </c>
      <c r="J42" s="183"/>
    </row>
    <row r="43" spans="1:12" ht="15.75" x14ac:dyDescent="0.25">
      <c r="G43" s="6">
        <v>43437</v>
      </c>
      <c r="H43" s="4">
        <v>800</v>
      </c>
      <c r="I43" s="182" t="s">
        <v>894</v>
      </c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882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A1:B1"/>
    <mergeCell ref="D1:E1"/>
    <mergeCell ref="G1:L1"/>
    <mergeCell ref="A2:B2"/>
    <mergeCell ref="D2:E2"/>
    <mergeCell ref="I2:J2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3:J13"/>
    <mergeCell ref="I12:J12"/>
    <mergeCell ref="A24:B24"/>
    <mergeCell ref="I24:J24"/>
    <mergeCell ref="I15:J15"/>
    <mergeCell ref="I16:J16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4"/>
  <dimension ref="A1:L47"/>
  <sheetViews>
    <sheetView topLeftCell="E1" workbookViewId="0">
      <selection activeCell="G12" sqref="G12:K12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323</v>
      </c>
      <c r="B1" s="184"/>
      <c r="C1" s="10"/>
      <c r="D1" s="199" t="s">
        <v>55</v>
      </c>
      <c r="E1" s="200"/>
      <c r="G1" s="184" t="s">
        <v>917</v>
      </c>
      <c r="H1" s="184"/>
      <c r="I1" s="184"/>
      <c r="J1" s="184"/>
      <c r="K1" s="184"/>
      <c r="L1" s="184"/>
    </row>
    <row r="2" spans="1:12" ht="18.75" x14ac:dyDescent="0.3">
      <c r="A2" s="184" t="s">
        <v>313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8039.93</v>
      </c>
      <c r="C3" s="11"/>
      <c r="D3" s="5"/>
      <c r="E3" s="4">
        <v>383.94</v>
      </c>
      <c r="F3" s="42" t="s">
        <v>902</v>
      </c>
      <c r="G3" s="6">
        <v>43446</v>
      </c>
      <c r="H3" s="7">
        <v>976.1</v>
      </c>
      <c r="I3" s="187" t="s">
        <v>906</v>
      </c>
      <c r="J3" s="188"/>
      <c r="K3" s="8"/>
      <c r="L3" s="8" t="s">
        <v>267</v>
      </c>
    </row>
    <row r="4" spans="1:12" ht="15.75" x14ac:dyDescent="0.25">
      <c r="A4" s="2" t="s">
        <v>3</v>
      </c>
      <c r="B4" s="3"/>
      <c r="C4" s="11"/>
      <c r="D4" s="5"/>
      <c r="E4" s="4">
        <v>478.41</v>
      </c>
      <c r="F4" t="s">
        <v>994</v>
      </c>
      <c r="G4" s="6">
        <v>43452</v>
      </c>
      <c r="H4" s="7">
        <v>505.5</v>
      </c>
      <c r="I4" s="187" t="s">
        <v>788</v>
      </c>
      <c r="J4" s="188"/>
      <c r="K4" s="8" t="s">
        <v>907</v>
      </c>
      <c r="L4" s="8" t="s">
        <v>268</v>
      </c>
    </row>
    <row r="5" spans="1:12" ht="15.75" x14ac:dyDescent="0.25">
      <c r="A5" s="2" t="s">
        <v>4</v>
      </c>
      <c r="B5" s="3">
        <f>SUM(H35:H47)</f>
        <v>5683.26</v>
      </c>
      <c r="C5" s="11"/>
      <c r="D5" s="5"/>
      <c r="E5" s="4">
        <v>150</v>
      </c>
      <c r="F5" t="s">
        <v>109</v>
      </c>
      <c r="G5" s="6">
        <v>43452</v>
      </c>
      <c r="H5" s="7">
        <v>1333.33</v>
      </c>
      <c r="I5" s="187" t="s">
        <v>788</v>
      </c>
      <c r="J5" s="188"/>
      <c r="K5" s="8" t="s">
        <v>908</v>
      </c>
      <c r="L5" s="8" t="s">
        <v>268</v>
      </c>
    </row>
    <row r="6" spans="1:12" ht="15.75" x14ac:dyDescent="0.25">
      <c r="A6" s="2"/>
      <c r="B6" s="3"/>
      <c r="C6" s="11"/>
      <c r="D6" s="22"/>
      <c r="E6" s="4"/>
      <c r="G6" s="6">
        <v>43452</v>
      </c>
      <c r="H6" s="7">
        <v>625</v>
      </c>
      <c r="I6" s="187" t="s">
        <v>788</v>
      </c>
      <c r="J6" s="188"/>
      <c r="K6" s="8" t="s">
        <v>909</v>
      </c>
      <c r="L6" s="8" t="s">
        <v>268</v>
      </c>
    </row>
    <row r="7" spans="1:12" ht="15.75" x14ac:dyDescent="0.25">
      <c r="A7" s="12" t="s">
        <v>5</v>
      </c>
      <c r="B7" s="25">
        <f>B3+B4-B5</f>
        <v>2356.67</v>
      </c>
      <c r="C7" s="11"/>
      <c r="D7" s="22"/>
      <c r="E7" s="4"/>
      <c r="G7" s="6">
        <v>43473</v>
      </c>
      <c r="H7" s="7">
        <v>250</v>
      </c>
      <c r="I7" s="187" t="s">
        <v>682</v>
      </c>
      <c r="J7" s="188"/>
      <c r="K7" s="8" t="s">
        <v>419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43473</v>
      </c>
      <c r="H8" s="7">
        <v>1000</v>
      </c>
      <c r="I8" s="187" t="s">
        <v>290</v>
      </c>
      <c r="J8" s="188"/>
      <c r="K8" s="8" t="s">
        <v>867</v>
      </c>
      <c r="L8" s="8" t="s">
        <v>268</v>
      </c>
    </row>
    <row r="9" spans="1:12" ht="15.75" x14ac:dyDescent="0.25">
      <c r="A9" s="2"/>
      <c r="B9" s="3"/>
      <c r="C9" s="11"/>
      <c r="D9" s="44"/>
      <c r="E9" s="4"/>
      <c r="G9" s="6">
        <v>43467</v>
      </c>
      <c r="H9" s="7">
        <v>150</v>
      </c>
      <c r="I9" s="187" t="s">
        <v>912</v>
      </c>
      <c r="J9" s="188"/>
      <c r="K9" s="8" t="s">
        <v>913</v>
      </c>
      <c r="L9" s="8" t="s">
        <v>267</v>
      </c>
    </row>
    <row r="10" spans="1:12" ht="15.75" x14ac:dyDescent="0.25">
      <c r="A10" s="2"/>
      <c r="B10" s="3"/>
      <c r="C10" s="11"/>
      <c r="D10" s="5"/>
      <c r="E10" s="43"/>
      <c r="G10" s="6">
        <v>43469</v>
      </c>
      <c r="H10" s="7">
        <v>300</v>
      </c>
      <c r="I10" s="187" t="s">
        <v>788</v>
      </c>
      <c r="J10" s="188"/>
      <c r="K10" s="8" t="s">
        <v>925</v>
      </c>
      <c r="L10" s="8" t="s">
        <v>268</v>
      </c>
    </row>
    <row r="11" spans="1:12" ht="15.75" x14ac:dyDescent="0.25">
      <c r="A11" s="2" t="s">
        <v>59</v>
      </c>
      <c r="B11" s="3">
        <f>(B7-B9)/2</f>
        <v>1178.335</v>
      </c>
      <c r="C11" s="11"/>
      <c r="D11" s="2"/>
      <c r="E11" s="4"/>
      <c r="F11" s="42"/>
      <c r="G11" s="6">
        <v>43474</v>
      </c>
      <c r="H11" s="7">
        <v>500</v>
      </c>
      <c r="I11" s="187" t="s">
        <v>165</v>
      </c>
      <c r="J11" s="188"/>
      <c r="K11" s="8" t="s">
        <v>927</v>
      </c>
      <c r="L11" s="8" t="s">
        <v>267</v>
      </c>
    </row>
    <row r="12" spans="1:12" ht="15.75" x14ac:dyDescent="0.25">
      <c r="A12" s="2"/>
      <c r="B12" s="3"/>
      <c r="C12" s="11"/>
      <c r="D12" s="5"/>
      <c r="E12" s="4"/>
      <c r="G12" s="6">
        <v>43474</v>
      </c>
      <c r="H12" s="7">
        <v>2400</v>
      </c>
      <c r="I12" s="187" t="s">
        <v>928</v>
      </c>
      <c r="J12" s="188"/>
      <c r="K12" s="8" t="s">
        <v>2214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/>
      <c r="H13" s="7"/>
      <c r="I13" s="187"/>
      <c r="J13" s="188"/>
      <c r="K13" s="8"/>
      <c r="L13" s="8"/>
    </row>
    <row r="14" spans="1:12" ht="15.75" x14ac:dyDescent="0.25">
      <c r="A14" s="2"/>
      <c r="B14" s="3"/>
      <c r="C14" s="11"/>
      <c r="D14" s="5"/>
      <c r="E14" s="4"/>
      <c r="G14" s="6"/>
      <c r="H14" s="7"/>
      <c r="I14" s="187"/>
      <c r="J14" s="188"/>
      <c r="K14" s="8"/>
      <c r="L14" s="8"/>
    </row>
    <row r="15" spans="1:12" ht="15.75" x14ac:dyDescent="0.25">
      <c r="A15" s="2"/>
      <c r="B15" s="3"/>
      <c r="C15" s="11"/>
      <c r="D15" s="22"/>
      <c r="E15" s="4"/>
      <c r="G15" s="6"/>
      <c r="H15" s="7"/>
      <c r="I15" s="187"/>
      <c r="J15" s="188"/>
      <c r="K15" s="8"/>
      <c r="L15" s="8"/>
    </row>
    <row r="16" spans="1:12" ht="15.75" x14ac:dyDescent="0.25">
      <c r="A16" s="2"/>
      <c r="B16" s="2"/>
      <c r="C16" s="1"/>
      <c r="D16" s="22"/>
      <c r="E16" s="4"/>
      <c r="G16" s="6"/>
      <c r="H16" s="7"/>
      <c r="I16" s="187"/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1012.35</v>
      </c>
      <c r="G17" s="6"/>
      <c r="H17" s="7"/>
      <c r="I17" s="187"/>
      <c r="J17" s="188"/>
      <c r="K17" s="8"/>
      <c r="L17" s="8"/>
    </row>
    <row r="18" spans="1:12" ht="15.75" x14ac:dyDescent="0.25">
      <c r="A18" s="2"/>
      <c r="B18" s="3"/>
      <c r="C18" s="1"/>
      <c r="D18" s="189" t="s">
        <v>12</v>
      </c>
      <c r="E18" s="190"/>
      <c r="G18" s="6"/>
      <c r="H18" s="7"/>
      <c r="I18" s="187"/>
      <c r="J18" s="188"/>
      <c r="K18" s="8"/>
      <c r="L18" s="8"/>
    </row>
    <row r="19" spans="1:12" ht="15.75" x14ac:dyDescent="0.25">
      <c r="A19" s="2" t="s">
        <v>57</v>
      </c>
      <c r="B19" s="3">
        <f>B11-E17</f>
        <v>165.98500000000001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1178.335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/>
      <c r="H21" s="7"/>
      <c r="I21" s="187"/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915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8039.93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915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43446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43454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43454</v>
      </c>
      <c r="H37" s="7">
        <v>800</v>
      </c>
      <c r="I37" s="182" t="s">
        <v>910</v>
      </c>
      <c r="J37" s="183"/>
      <c r="K37" s="180"/>
      <c r="L37" s="180"/>
    </row>
    <row r="38" spans="1:12" ht="15.75" x14ac:dyDescent="0.25">
      <c r="G38" s="6">
        <v>43454</v>
      </c>
      <c r="H38" s="4">
        <v>2100</v>
      </c>
      <c r="I38" s="182" t="s">
        <v>806</v>
      </c>
      <c r="J38" s="183"/>
      <c r="K38" s="180"/>
      <c r="L38" s="180"/>
    </row>
    <row r="39" spans="1:12" ht="15.75" x14ac:dyDescent="0.25">
      <c r="G39" s="6">
        <v>43474</v>
      </c>
      <c r="H39" s="4">
        <v>285.77</v>
      </c>
      <c r="I39" s="182" t="s">
        <v>911</v>
      </c>
      <c r="J39" s="183"/>
    </row>
    <row r="40" spans="1:12" ht="15.75" x14ac:dyDescent="0.25">
      <c r="G40" s="6">
        <v>43474</v>
      </c>
      <c r="H40" s="4">
        <v>97.49</v>
      </c>
      <c r="I40" s="182" t="s">
        <v>500</v>
      </c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916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A1:B1"/>
    <mergeCell ref="D1:E1"/>
    <mergeCell ref="G1:L1"/>
    <mergeCell ref="A2:B2"/>
    <mergeCell ref="D2:E2"/>
    <mergeCell ref="I2:J2"/>
    <mergeCell ref="I16:J16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4:J14"/>
    <mergeCell ref="I15:J15"/>
    <mergeCell ref="I12:J12"/>
    <mergeCell ref="I13:J13"/>
    <mergeCell ref="I25:J25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A24:B24"/>
    <mergeCell ref="I24:J24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A33:B33"/>
    <mergeCell ref="C33:D33"/>
    <mergeCell ref="E33:F33"/>
    <mergeCell ref="G33:J33"/>
    <mergeCell ref="K33:L33"/>
    <mergeCell ref="I34:J34"/>
    <mergeCell ref="K34:L34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5"/>
  <dimension ref="A1:L47"/>
  <sheetViews>
    <sheetView topLeftCell="E1" workbookViewId="0">
      <selection activeCell="K6" sqref="K6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357</v>
      </c>
      <c r="B1" s="184"/>
      <c r="C1" s="10"/>
      <c r="D1" s="199" t="s">
        <v>55</v>
      </c>
      <c r="E1" s="200"/>
      <c r="G1" s="184" t="s">
        <v>918</v>
      </c>
      <c r="H1" s="184"/>
      <c r="I1" s="184"/>
      <c r="J1" s="184"/>
      <c r="K1" s="184"/>
      <c r="L1" s="184"/>
    </row>
    <row r="2" spans="1:12" ht="18.75" x14ac:dyDescent="0.3">
      <c r="A2" s="184" t="s">
        <v>358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20993.83</v>
      </c>
      <c r="C3" s="11"/>
      <c r="D3" s="5">
        <v>43479</v>
      </c>
      <c r="E3" s="4">
        <v>666.56</v>
      </c>
      <c r="F3" s="42" t="s">
        <v>922</v>
      </c>
      <c r="G3" s="6">
        <v>43479</v>
      </c>
      <c r="H3" s="7">
        <v>750</v>
      </c>
      <c r="I3" s="187" t="s">
        <v>719</v>
      </c>
      <c r="J3" s="188"/>
      <c r="K3" s="8" t="s">
        <v>2214</v>
      </c>
      <c r="L3" s="8" t="s">
        <v>267</v>
      </c>
    </row>
    <row r="4" spans="1:12" ht="15.75" x14ac:dyDescent="0.25">
      <c r="A4" s="2" t="s">
        <v>3</v>
      </c>
      <c r="B4" s="3"/>
      <c r="C4" s="11"/>
      <c r="D4" s="5">
        <v>43483</v>
      </c>
      <c r="E4" s="4">
        <v>496.6</v>
      </c>
      <c r="F4" t="s">
        <v>995</v>
      </c>
      <c r="G4" s="6">
        <v>43479</v>
      </c>
      <c r="H4" s="7">
        <v>1250</v>
      </c>
      <c r="I4" s="187" t="s">
        <v>788</v>
      </c>
      <c r="J4" s="188"/>
      <c r="K4" s="8" t="s">
        <v>903</v>
      </c>
      <c r="L4" s="8" t="s">
        <v>268</v>
      </c>
    </row>
    <row r="5" spans="1:12" ht="15.75" x14ac:dyDescent="0.25">
      <c r="A5" s="2" t="s">
        <v>4</v>
      </c>
      <c r="B5" s="3">
        <f>SUM(H35:H47)</f>
        <v>3919.51</v>
      </c>
      <c r="C5" s="11"/>
      <c r="D5" s="5"/>
      <c r="E5" s="4">
        <v>265</v>
      </c>
      <c r="F5" t="s">
        <v>993</v>
      </c>
      <c r="G5" s="6">
        <v>43479</v>
      </c>
      <c r="H5" s="7">
        <v>642.85</v>
      </c>
      <c r="I5" s="187" t="s">
        <v>788</v>
      </c>
      <c r="J5" s="188"/>
      <c r="K5" s="8" t="s">
        <v>914</v>
      </c>
      <c r="L5" s="8" t="s">
        <v>268</v>
      </c>
    </row>
    <row r="6" spans="1:12" ht="15.75" x14ac:dyDescent="0.25">
      <c r="A6" s="2"/>
      <c r="B6" s="3"/>
      <c r="C6" s="11"/>
      <c r="D6" s="22"/>
      <c r="E6" s="4">
        <v>170.77</v>
      </c>
      <c r="F6" t="s">
        <v>936</v>
      </c>
      <c r="G6" s="6">
        <v>43480</v>
      </c>
      <c r="H6" s="7">
        <v>100</v>
      </c>
      <c r="I6" s="187"/>
      <c r="J6" s="188"/>
      <c r="K6" s="8" t="s">
        <v>923</v>
      </c>
      <c r="L6" s="8" t="s">
        <v>267</v>
      </c>
    </row>
    <row r="7" spans="1:12" ht="15.75" x14ac:dyDescent="0.25">
      <c r="A7" s="12" t="s">
        <v>5</v>
      </c>
      <c r="B7" s="25">
        <f>B3+B4-B5</f>
        <v>17074.32</v>
      </c>
      <c r="C7" s="11"/>
      <c r="D7" s="22"/>
      <c r="E7" s="4">
        <v>2234</v>
      </c>
      <c r="F7" t="s">
        <v>954</v>
      </c>
      <c r="G7" s="6">
        <v>43480</v>
      </c>
      <c r="H7" s="7">
        <v>200</v>
      </c>
      <c r="I7" s="187" t="s">
        <v>305</v>
      </c>
      <c r="J7" s="188"/>
      <c r="K7" s="8" t="s">
        <v>240</v>
      </c>
      <c r="L7" s="8"/>
    </row>
    <row r="8" spans="1:12" ht="15.75" x14ac:dyDescent="0.25">
      <c r="A8" s="2"/>
      <c r="B8" s="3"/>
      <c r="C8" s="11"/>
      <c r="D8" s="22"/>
      <c r="E8" s="4"/>
      <c r="G8" s="6">
        <v>43482</v>
      </c>
      <c r="H8" s="7">
        <v>750</v>
      </c>
      <c r="I8" s="187" t="s">
        <v>562</v>
      </c>
      <c r="J8" s="188"/>
      <c r="K8" s="8" t="s">
        <v>2223</v>
      </c>
      <c r="L8" s="8" t="s">
        <v>267</v>
      </c>
    </row>
    <row r="9" spans="1:12" ht="15.75" x14ac:dyDescent="0.25">
      <c r="A9" s="2"/>
      <c r="B9" s="3"/>
      <c r="C9" s="11"/>
      <c r="D9" s="44"/>
      <c r="E9" s="4"/>
      <c r="G9" s="6">
        <v>43482</v>
      </c>
      <c r="H9" s="7">
        <v>1333.33</v>
      </c>
      <c r="I9" s="187" t="s">
        <v>788</v>
      </c>
      <c r="J9" s="188"/>
      <c r="K9" s="8" t="s">
        <v>930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43483</v>
      </c>
      <c r="H10" s="7">
        <v>250</v>
      </c>
      <c r="I10" s="187" t="s">
        <v>788</v>
      </c>
      <c r="J10" s="188"/>
      <c r="K10" s="8" t="s">
        <v>931</v>
      </c>
      <c r="L10" s="8" t="s">
        <v>268</v>
      </c>
    </row>
    <row r="11" spans="1:12" ht="15.75" x14ac:dyDescent="0.25">
      <c r="A11" s="2" t="s">
        <v>59</v>
      </c>
      <c r="B11" s="3">
        <f>(B7-B9)/2</f>
        <v>8537.16</v>
      </c>
      <c r="C11" s="11"/>
      <c r="D11" s="2"/>
      <c r="E11" s="4"/>
      <c r="F11" s="42"/>
      <c r="G11" s="6">
        <v>43486</v>
      </c>
      <c r="H11" s="7">
        <v>1000</v>
      </c>
      <c r="I11" s="187" t="s">
        <v>788</v>
      </c>
      <c r="J11" s="188"/>
      <c r="K11" s="8" t="s">
        <v>926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43486</v>
      </c>
      <c r="H12" s="7">
        <v>1000</v>
      </c>
      <c r="I12" s="187" t="s">
        <v>165</v>
      </c>
      <c r="J12" s="188"/>
      <c r="K12" s="8" t="s">
        <v>2240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>
        <v>43488</v>
      </c>
      <c r="H13" s="7">
        <v>300</v>
      </c>
      <c r="I13" s="36" t="s">
        <v>924</v>
      </c>
      <c r="J13" s="37"/>
      <c r="K13" s="8" t="s">
        <v>784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>
        <v>43489</v>
      </c>
      <c r="H14" s="7">
        <v>1698.07</v>
      </c>
      <c r="I14" s="187" t="s">
        <v>932</v>
      </c>
      <c r="J14" s="188"/>
      <c r="K14" s="8" t="s">
        <v>2251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43493</v>
      </c>
      <c r="H15" s="7">
        <v>350</v>
      </c>
      <c r="I15" s="187" t="s">
        <v>933</v>
      </c>
      <c r="J15" s="188"/>
      <c r="K15" s="8" t="s">
        <v>784</v>
      </c>
      <c r="L15" s="8" t="s">
        <v>267</v>
      </c>
    </row>
    <row r="16" spans="1:12" ht="15.75" x14ac:dyDescent="0.25">
      <c r="A16" s="2"/>
      <c r="B16" s="2"/>
      <c r="C16" s="1"/>
      <c r="D16" s="22"/>
      <c r="E16" s="4"/>
      <c r="G16" s="6">
        <v>43494</v>
      </c>
      <c r="H16" s="7">
        <v>6512</v>
      </c>
      <c r="I16" s="187" t="s">
        <v>934</v>
      </c>
      <c r="J16" s="188"/>
      <c r="K16" s="8" t="s">
        <v>425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3832.93</v>
      </c>
      <c r="G17" s="6">
        <v>43495</v>
      </c>
      <c r="H17" s="7">
        <v>1732.58</v>
      </c>
      <c r="I17" s="187" t="s">
        <v>935</v>
      </c>
      <c r="J17" s="188"/>
      <c r="K17" s="8" t="s">
        <v>2251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43495</v>
      </c>
      <c r="H18" s="7">
        <v>750</v>
      </c>
      <c r="I18" s="187" t="s">
        <v>719</v>
      </c>
      <c r="J18" s="188"/>
      <c r="K18" s="8" t="s">
        <v>2214</v>
      </c>
      <c r="L18" s="8" t="s">
        <v>267</v>
      </c>
    </row>
    <row r="19" spans="1:12" ht="15.75" x14ac:dyDescent="0.25">
      <c r="A19" s="2" t="s">
        <v>57</v>
      </c>
      <c r="B19" s="3">
        <f>B11-E17</f>
        <v>4704.2299999999996</v>
      </c>
      <c r="C19" s="1"/>
      <c r="D19" s="2" t="s">
        <v>1</v>
      </c>
      <c r="E19" s="2" t="s">
        <v>6</v>
      </c>
      <c r="G19" s="6">
        <v>43501</v>
      </c>
      <c r="H19" s="7">
        <v>250</v>
      </c>
      <c r="I19" s="187" t="s">
        <v>934</v>
      </c>
      <c r="J19" s="188"/>
      <c r="K19" s="8" t="s">
        <v>419</v>
      </c>
      <c r="L19" s="8" t="s">
        <v>268</v>
      </c>
    </row>
    <row r="20" spans="1:12" ht="15.75" x14ac:dyDescent="0.25">
      <c r="A20" s="2" t="s">
        <v>12</v>
      </c>
      <c r="B20" s="3">
        <f>B11-E25</f>
        <v>8537.16</v>
      </c>
      <c r="C20" s="1"/>
      <c r="D20" s="5"/>
      <c r="E20" s="21"/>
      <c r="G20" s="6">
        <v>43501</v>
      </c>
      <c r="H20" s="7">
        <v>150</v>
      </c>
      <c r="I20" s="187" t="s">
        <v>938</v>
      </c>
      <c r="J20" s="188"/>
      <c r="K20" s="8" t="s">
        <v>2235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43501</v>
      </c>
      <c r="H21" s="7">
        <v>300</v>
      </c>
      <c r="I21" s="187" t="s">
        <v>788</v>
      </c>
      <c r="J21" s="188"/>
      <c r="K21" s="8" t="s">
        <v>951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43501</v>
      </c>
      <c r="H22" s="7">
        <v>225</v>
      </c>
      <c r="I22" s="187" t="s">
        <v>788</v>
      </c>
      <c r="J22" s="188"/>
      <c r="K22" s="8" t="s">
        <v>959</v>
      </c>
      <c r="L22" s="8" t="s">
        <v>268</v>
      </c>
    </row>
    <row r="23" spans="1:12" ht="15.75" x14ac:dyDescent="0.25">
      <c r="A23" s="1"/>
      <c r="B23" s="1"/>
      <c r="C23" s="1"/>
      <c r="D23" s="22"/>
      <c r="E23" s="21"/>
      <c r="F23" s="1"/>
      <c r="G23" s="6">
        <v>43502</v>
      </c>
      <c r="H23" s="7">
        <v>1000</v>
      </c>
      <c r="I23" s="187" t="s">
        <v>934</v>
      </c>
      <c r="J23" s="188"/>
      <c r="K23" s="8" t="s">
        <v>937</v>
      </c>
      <c r="L23" s="8" t="s">
        <v>268</v>
      </c>
    </row>
    <row r="24" spans="1:12" ht="15.75" x14ac:dyDescent="0.25">
      <c r="A24" s="196" t="s">
        <v>919</v>
      </c>
      <c r="B24" s="196"/>
      <c r="C24" s="1"/>
      <c r="D24" s="22"/>
      <c r="E24" s="21"/>
      <c r="F24" s="1"/>
      <c r="G24" s="6">
        <v>43504</v>
      </c>
      <c r="H24" s="7">
        <v>150</v>
      </c>
      <c r="I24" s="36" t="s">
        <v>939</v>
      </c>
      <c r="J24" s="37"/>
      <c r="K24" s="8" t="s">
        <v>940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43504</v>
      </c>
      <c r="H25" s="7">
        <v>300</v>
      </c>
      <c r="I25" s="36" t="s">
        <v>941</v>
      </c>
      <c r="J25" s="37"/>
      <c r="K25" s="8" t="s">
        <v>942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20993.83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919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43479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43485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43476</v>
      </c>
      <c r="H37" s="7">
        <v>300</v>
      </c>
      <c r="I37" s="182" t="s">
        <v>921</v>
      </c>
      <c r="J37" s="183"/>
      <c r="K37" s="180"/>
      <c r="L37" s="180"/>
    </row>
    <row r="38" spans="1:12" ht="15.75" x14ac:dyDescent="0.25">
      <c r="G38" s="6">
        <v>43486</v>
      </c>
      <c r="H38" s="4">
        <v>200</v>
      </c>
      <c r="I38" s="182" t="s">
        <v>929</v>
      </c>
      <c r="J38" s="183"/>
      <c r="K38" s="180"/>
      <c r="L38" s="180"/>
    </row>
    <row r="39" spans="1:12" ht="15.75" x14ac:dyDescent="0.25">
      <c r="G39" s="6">
        <v>43489</v>
      </c>
      <c r="H39" s="4">
        <v>114.38</v>
      </c>
      <c r="I39" s="182" t="s">
        <v>158</v>
      </c>
      <c r="J39" s="183"/>
    </row>
    <row r="40" spans="1:12" ht="15.75" x14ac:dyDescent="0.25">
      <c r="G40" s="6">
        <v>43496</v>
      </c>
      <c r="H40" s="4">
        <v>105.13</v>
      </c>
      <c r="I40" s="182" t="s">
        <v>262</v>
      </c>
      <c r="J40" s="183"/>
    </row>
    <row r="41" spans="1:12" ht="15.75" x14ac:dyDescent="0.25">
      <c r="G41" s="6">
        <v>43503</v>
      </c>
      <c r="H41" s="4">
        <v>800</v>
      </c>
      <c r="I41" s="182" t="s">
        <v>952</v>
      </c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920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6">
    <mergeCell ref="A1:B1"/>
    <mergeCell ref="D1:E1"/>
    <mergeCell ref="G1:L1"/>
    <mergeCell ref="A2:B2"/>
    <mergeCell ref="D2:E2"/>
    <mergeCell ref="I2:J2"/>
    <mergeCell ref="I16:J16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4:J14"/>
    <mergeCell ref="I15:J15"/>
    <mergeCell ref="I12:J12"/>
    <mergeCell ref="A17:B17"/>
    <mergeCell ref="I17:J17"/>
    <mergeCell ref="D18:E18"/>
    <mergeCell ref="I18:J18"/>
    <mergeCell ref="I19:J19"/>
    <mergeCell ref="I20:J20"/>
    <mergeCell ref="I21:J21"/>
    <mergeCell ref="I22:J22"/>
    <mergeCell ref="I23:J23"/>
    <mergeCell ref="A24:B24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A33:B33"/>
    <mergeCell ref="C33:D33"/>
    <mergeCell ref="E33:F33"/>
    <mergeCell ref="G33:J33"/>
    <mergeCell ref="K33:L33"/>
    <mergeCell ref="I34:J34"/>
    <mergeCell ref="K34:L34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6"/>
  <dimension ref="A1:L42"/>
  <sheetViews>
    <sheetView topLeftCell="F1" workbookViewId="0">
      <selection activeCell="I4" sqref="I4:J4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400</v>
      </c>
      <c r="B1" s="184"/>
      <c r="C1" s="10"/>
      <c r="D1" s="199" t="s">
        <v>55</v>
      </c>
      <c r="E1" s="200"/>
      <c r="G1" s="184" t="s">
        <v>946</v>
      </c>
      <c r="H1" s="184"/>
      <c r="I1" s="184"/>
      <c r="J1" s="184"/>
      <c r="K1" s="184"/>
      <c r="L1" s="184"/>
    </row>
    <row r="2" spans="1:12" ht="18.75" x14ac:dyDescent="0.3">
      <c r="A2" s="184" t="s">
        <v>396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H21</f>
        <v>21136.959999999999</v>
      </c>
      <c r="C3" s="11"/>
      <c r="D3" s="5">
        <v>43515</v>
      </c>
      <c r="E3" s="4">
        <v>572.61</v>
      </c>
      <c r="F3" s="42" t="s">
        <v>956</v>
      </c>
      <c r="G3" s="6">
        <v>43507</v>
      </c>
      <c r="H3" s="7">
        <v>300</v>
      </c>
      <c r="I3" s="187" t="s">
        <v>948</v>
      </c>
      <c r="J3" s="188"/>
      <c r="K3" s="8" t="s">
        <v>947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>
        <v>496.6</v>
      </c>
      <c r="F4" t="s">
        <v>996</v>
      </c>
      <c r="G4" s="6">
        <v>43507</v>
      </c>
      <c r="H4" s="7">
        <v>3000</v>
      </c>
      <c r="I4" s="187" t="s">
        <v>949</v>
      </c>
      <c r="J4" s="188"/>
      <c r="K4" s="8" t="s">
        <v>950</v>
      </c>
      <c r="L4" s="8" t="s">
        <v>267</v>
      </c>
    </row>
    <row r="5" spans="1:12" ht="15.75" x14ac:dyDescent="0.25">
      <c r="A5" s="2" t="s">
        <v>4</v>
      </c>
      <c r="B5" s="3">
        <f>SUM(H30:H42)</f>
        <v>8190</v>
      </c>
      <c r="C5" s="11"/>
      <c r="D5" s="5"/>
      <c r="E5" s="4">
        <v>265</v>
      </c>
      <c r="F5" t="s">
        <v>957</v>
      </c>
      <c r="G5" s="6">
        <v>43507</v>
      </c>
      <c r="H5" s="7">
        <v>1250</v>
      </c>
      <c r="I5" s="187" t="s">
        <v>788</v>
      </c>
      <c r="J5" s="188"/>
      <c r="K5" s="8" t="s">
        <v>903</v>
      </c>
      <c r="L5" s="8" t="s">
        <v>268</v>
      </c>
    </row>
    <row r="6" spans="1:12" ht="15.75" x14ac:dyDescent="0.25">
      <c r="A6" s="2"/>
      <c r="B6" s="3"/>
      <c r="C6" s="11"/>
      <c r="D6" s="22"/>
      <c r="E6" s="4">
        <v>170.77</v>
      </c>
      <c r="F6" t="s">
        <v>968</v>
      </c>
      <c r="G6" s="6">
        <v>43507</v>
      </c>
      <c r="H6" s="7">
        <v>500</v>
      </c>
      <c r="I6" s="187" t="s">
        <v>290</v>
      </c>
      <c r="J6" s="188"/>
      <c r="K6" s="8" t="s">
        <v>867</v>
      </c>
      <c r="L6" s="8" t="s">
        <v>268</v>
      </c>
    </row>
    <row r="7" spans="1:12" ht="15.75" x14ac:dyDescent="0.25">
      <c r="A7" s="12" t="s">
        <v>5</v>
      </c>
      <c r="B7" s="25">
        <f>B3+B4-B5</f>
        <v>12946.96</v>
      </c>
      <c r="C7" s="11"/>
      <c r="D7" s="22"/>
      <c r="E7" s="4">
        <v>550</v>
      </c>
      <c r="F7" t="s">
        <v>953</v>
      </c>
      <c r="G7" s="6">
        <v>43509</v>
      </c>
      <c r="H7" s="7">
        <v>1000</v>
      </c>
      <c r="I7" s="187" t="s">
        <v>139</v>
      </c>
      <c r="J7" s="188"/>
      <c r="K7" s="8" t="s">
        <v>2243</v>
      </c>
      <c r="L7" s="8" t="s">
        <v>267</v>
      </c>
    </row>
    <row r="8" spans="1:12" ht="15.75" x14ac:dyDescent="0.25">
      <c r="A8" s="2"/>
      <c r="B8" s="3"/>
      <c r="C8" s="11"/>
      <c r="D8" s="22"/>
      <c r="E8" s="4"/>
      <c r="G8" s="6">
        <v>43509</v>
      </c>
      <c r="H8" s="7">
        <v>375</v>
      </c>
      <c r="I8" s="187" t="s">
        <v>788</v>
      </c>
      <c r="J8" s="188"/>
      <c r="K8" s="8" t="s">
        <v>978</v>
      </c>
      <c r="L8" s="8" t="s">
        <v>268</v>
      </c>
    </row>
    <row r="9" spans="1:12" ht="15.75" x14ac:dyDescent="0.25">
      <c r="A9" s="2"/>
      <c r="B9" s="3"/>
      <c r="C9" s="11"/>
      <c r="D9" s="44"/>
      <c r="E9" s="4"/>
      <c r="G9" s="6">
        <v>43514</v>
      </c>
      <c r="H9" s="7">
        <v>733</v>
      </c>
      <c r="I9" s="187" t="s">
        <v>788</v>
      </c>
      <c r="J9" s="188"/>
      <c r="K9" s="8" t="s">
        <v>979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43518</v>
      </c>
      <c r="H10" s="7">
        <v>625</v>
      </c>
      <c r="I10" s="187" t="s">
        <v>733</v>
      </c>
      <c r="J10" s="188"/>
      <c r="K10" s="8" t="s">
        <v>908</v>
      </c>
      <c r="L10" s="8" t="s">
        <v>268</v>
      </c>
    </row>
    <row r="11" spans="1:12" ht="15.75" x14ac:dyDescent="0.25">
      <c r="A11" s="2" t="s">
        <v>59</v>
      </c>
      <c r="B11" s="3">
        <f>(B7-B9)/2</f>
        <v>6473.48</v>
      </c>
      <c r="C11" s="11"/>
      <c r="D11" s="2"/>
      <c r="E11" s="4"/>
      <c r="F11" s="42"/>
      <c r="G11" s="6">
        <v>43518</v>
      </c>
      <c r="H11" s="7">
        <v>3592.74</v>
      </c>
      <c r="I11" s="187" t="s">
        <v>733</v>
      </c>
      <c r="J11" s="188"/>
      <c r="K11" s="8" t="s">
        <v>958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43522</v>
      </c>
      <c r="H12" s="7">
        <v>150</v>
      </c>
      <c r="I12" s="187"/>
      <c r="J12" s="188"/>
      <c r="K12" s="8" t="s">
        <v>240</v>
      </c>
      <c r="L12" s="8"/>
    </row>
    <row r="13" spans="1:12" ht="15.75" x14ac:dyDescent="0.25">
      <c r="A13" s="2"/>
      <c r="B13" s="3"/>
      <c r="C13" s="11"/>
      <c r="D13" s="5"/>
      <c r="E13" s="4"/>
      <c r="G13" s="6">
        <v>43524</v>
      </c>
      <c r="H13" s="7">
        <v>962.1</v>
      </c>
      <c r="I13" s="36" t="s">
        <v>961</v>
      </c>
      <c r="J13" s="37"/>
      <c r="K13" s="8" t="s">
        <v>962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43525</v>
      </c>
      <c r="H14" s="7">
        <v>1160.99</v>
      </c>
      <c r="I14" s="36" t="s">
        <v>733</v>
      </c>
      <c r="J14" s="37"/>
      <c r="K14" s="8" t="s">
        <v>966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43532</v>
      </c>
      <c r="H15" s="7">
        <v>2053.44</v>
      </c>
      <c r="I15" s="187" t="s">
        <v>763</v>
      </c>
      <c r="J15" s="188"/>
      <c r="K15" s="8" t="s">
        <v>963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43532</v>
      </c>
      <c r="H16" s="7">
        <v>150</v>
      </c>
      <c r="I16" s="36" t="s">
        <v>964</v>
      </c>
      <c r="J16" s="37"/>
      <c r="K16" s="8" t="s">
        <v>2235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2054.98</v>
      </c>
      <c r="G17" s="6">
        <v>43532</v>
      </c>
      <c r="H17" s="7">
        <v>3284.69</v>
      </c>
      <c r="I17" s="36" t="s">
        <v>868</v>
      </c>
      <c r="J17" s="37"/>
      <c r="K17" s="8" t="s">
        <v>965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43532</v>
      </c>
      <c r="H18" s="7">
        <v>2000</v>
      </c>
      <c r="I18" s="187" t="s">
        <v>429</v>
      </c>
      <c r="J18" s="188"/>
      <c r="K18" s="8" t="s">
        <v>965</v>
      </c>
      <c r="L18" s="8" t="s">
        <v>268</v>
      </c>
    </row>
    <row r="19" spans="1:12" ht="15.75" x14ac:dyDescent="0.25">
      <c r="A19" s="2" t="s">
        <v>57</v>
      </c>
      <c r="B19" s="3">
        <f>B11-E17</f>
        <v>4418.5</v>
      </c>
      <c r="C19" s="1"/>
      <c r="D19" s="2" t="s">
        <v>1</v>
      </c>
      <c r="E19" s="2" t="s">
        <v>6</v>
      </c>
      <c r="G19" s="6"/>
      <c r="H19" s="7"/>
      <c r="I19" s="187"/>
      <c r="J19" s="188"/>
      <c r="K19" s="8"/>
      <c r="L19" s="8"/>
    </row>
    <row r="20" spans="1:12" ht="15.75" x14ac:dyDescent="0.25">
      <c r="A20" s="2" t="s">
        <v>12</v>
      </c>
      <c r="B20" s="3">
        <f>B11-E25</f>
        <v>6473.48</v>
      </c>
      <c r="C20" s="1"/>
      <c r="D20" s="5"/>
      <c r="E20" s="21"/>
      <c r="G20" s="6"/>
      <c r="H20" s="7"/>
      <c r="I20" s="187"/>
      <c r="J20" s="188"/>
      <c r="K20" s="8"/>
      <c r="L20" s="8"/>
    </row>
    <row r="21" spans="1:12" ht="15.75" x14ac:dyDescent="0.25">
      <c r="A21" s="2"/>
      <c r="B21" s="2"/>
      <c r="C21" s="1"/>
      <c r="D21" s="5"/>
      <c r="E21" s="21"/>
      <c r="G21" s="6" t="s">
        <v>23</v>
      </c>
      <c r="H21" s="193">
        <f>SUM(H3:H20)</f>
        <v>21136.959999999999</v>
      </c>
      <c r="I21" s="194"/>
      <c r="J21" s="194"/>
      <c r="K21" s="194"/>
      <c r="L21" s="195"/>
    </row>
    <row r="22" spans="1:12" ht="15.75" x14ac:dyDescent="0.25">
      <c r="A22" s="2"/>
      <c r="B22" s="2"/>
      <c r="C22" s="1"/>
      <c r="D22" s="22"/>
      <c r="E22" s="21"/>
      <c r="G22" s="1"/>
      <c r="H22" s="1"/>
      <c r="I22" s="1"/>
      <c r="J22" s="1"/>
      <c r="K22" s="196" t="s">
        <v>943</v>
      </c>
      <c r="L22" s="196"/>
    </row>
    <row r="23" spans="1:12" ht="15.75" x14ac:dyDescent="0.25">
      <c r="A23" s="1"/>
      <c r="B23" s="1"/>
      <c r="C23" s="1"/>
      <c r="D23" s="22"/>
      <c r="E23" s="21"/>
      <c r="F23" s="1"/>
      <c r="G23" s="180"/>
      <c r="H23" s="180"/>
      <c r="I23" s="180" t="s">
        <v>69</v>
      </c>
      <c r="J23" s="180"/>
      <c r="K23" s="180" t="s">
        <v>69</v>
      </c>
      <c r="L23" s="180"/>
    </row>
    <row r="24" spans="1:12" ht="15.75" x14ac:dyDescent="0.25">
      <c r="A24" s="196" t="s">
        <v>945</v>
      </c>
      <c r="B24" s="196"/>
      <c r="C24" s="1"/>
      <c r="D24" s="22"/>
      <c r="E24" s="21"/>
      <c r="F24" s="1"/>
      <c r="G24" s="180"/>
      <c r="H24" s="180"/>
      <c r="I24" s="180" t="s">
        <v>65</v>
      </c>
      <c r="J24" s="180"/>
      <c r="K24" s="180" t="s">
        <v>67</v>
      </c>
      <c r="L24" s="180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K25" s="180"/>
      <c r="L25" s="180"/>
    </row>
    <row r="26" spans="1:12" ht="15.75" x14ac:dyDescent="0.25">
      <c r="A26" s="1"/>
      <c r="B26" s="1"/>
      <c r="C26" s="1"/>
      <c r="D26" s="17"/>
      <c r="E26" s="17"/>
      <c r="F26" s="1"/>
      <c r="K26" s="18"/>
      <c r="L26" s="18"/>
    </row>
    <row r="27" spans="1:12" ht="18.75" x14ac:dyDescent="0.3">
      <c r="A27" s="17"/>
      <c r="B27" s="17"/>
      <c r="C27" s="17"/>
      <c r="D27" s="178"/>
      <c r="E27" s="178"/>
      <c r="F27" s="9"/>
      <c r="K27" s="18"/>
      <c r="L27" s="18"/>
    </row>
    <row r="28" spans="1:12" ht="18.75" x14ac:dyDescent="0.3">
      <c r="A28" s="209"/>
      <c r="B28" s="209"/>
      <c r="C28" s="209"/>
      <c r="D28" s="209"/>
      <c r="E28" s="209"/>
      <c r="F28" s="209"/>
      <c r="G28" s="184" t="s">
        <v>25</v>
      </c>
      <c r="H28" s="184"/>
      <c r="I28" s="184"/>
      <c r="J28" s="184"/>
      <c r="K28" s="180"/>
      <c r="L28" s="180"/>
    </row>
    <row r="29" spans="1:12" ht="15.75" x14ac:dyDescent="0.25">
      <c r="A29" s="209"/>
      <c r="B29" s="209"/>
      <c r="C29" s="209"/>
      <c r="D29" s="209"/>
      <c r="E29" s="209"/>
      <c r="F29" s="209"/>
      <c r="G29" s="2" t="s">
        <v>1</v>
      </c>
      <c r="H29" s="2" t="s">
        <v>6</v>
      </c>
      <c r="I29" s="182" t="s">
        <v>13</v>
      </c>
      <c r="J29" s="183"/>
      <c r="K29" s="180"/>
      <c r="L29" s="180"/>
    </row>
    <row r="30" spans="1:12" ht="15.75" x14ac:dyDescent="0.25">
      <c r="A30" s="209"/>
      <c r="B30" s="209"/>
      <c r="C30" s="209"/>
      <c r="D30" s="209"/>
      <c r="E30" s="209"/>
      <c r="F30" s="209"/>
      <c r="G30" s="6">
        <v>43507</v>
      </c>
      <c r="H30" s="7">
        <v>600</v>
      </c>
      <c r="I30" s="182" t="s">
        <v>879</v>
      </c>
      <c r="J30" s="183"/>
      <c r="K30" s="18"/>
      <c r="L30" s="18"/>
    </row>
    <row r="31" spans="1:12" ht="15.75" x14ac:dyDescent="0.25">
      <c r="A31" s="17"/>
      <c r="B31" s="29"/>
      <c r="C31" s="29"/>
      <c r="D31" s="29"/>
      <c r="E31" s="20"/>
      <c r="F31" s="1"/>
      <c r="G31" s="6">
        <v>43511</v>
      </c>
      <c r="H31" s="7">
        <v>1155</v>
      </c>
      <c r="I31" s="182">
        <v>107</v>
      </c>
      <c r="J31" s="183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G32" s="6">
        <v>43516</v>
      </c>
      <c r="H32" s="7">
        <v>1800</v>
      </c>
      <c r="I32" s="182" t="s">
        <v>173</v>
      </c>
      <c r="J32" s="183"/>
      <c r="K32" s="180"/>
      <c r="L32" s="180"/>
    </row>
    <row r="33" spans="1:12" ht="15.75" x14ac:dyDescent="0.25">
      <c r="A33" s="180"/>
      <c r="B33" s="180"/>
      <c r="C33" s="180"/>
      <c r="D33" s="180"/>
      <c r="E33" s="180"/>
      <c r="F33" s="180"/>
      <c r="G33" s="6">
        <v>43516</v>
      </c>
      <c r="H33" s="4">
        <v>1000</v>
      </c>
      <c r="I33" s="182" t="s">
        <v>955</v>
      </c>
      <c r="J33" s="183"/>
      <c r="K33" s="180"/>
      <c r="L33" s="180"/>
    </row>
    <row r="34" spans="1:12" ht="15.75" x14ac:dyDescent="0.25">
      <c r="G34" s="6">
        <v>43523</v>
      </c>
      <c r="H34" s="4">
        <v>170</v>
      </c>
      <c r="I34" s="182" t="s">
        <v>960</v>
      </c>
      <c r="J34" s="183"/>
    </row>
    <row r="35" spans="1:12" ht="15.75" x14ac:dyDescent="0.25">
      <c r="G35" s="6">
        <v>43532</v>
      </c>
      <c r="H35" s="4">
        <v>3465</v>
      </c>
      <c r="I35" s="182" t="s">
        <v>967</v>
      </c>
      <c r="J35" s="183"/>
    </row>
    <row r="36" spans="1:12" ht="15.75" x14ac:dyDescent="0.25">
      <c r="G36" s="6"/>
      <c r="H36" s="4"/>
      <c r="I36" s="182"/>
      <c r="J36" s="183"/>
    </row>
    <row r="37" spans="1:12" ht="15.75" x14ac:dyDescent="0.25">
      <c r="G37" s="6"/>
      <c r="H37" s="4"/>
      <c r="I37" s="182"/>
      <c r="J37" s="183"/>
    </row>
    <row r="38" spans="1:12" ht="15.75" x14ac:dyDescent="0.25">
      <c r="G38" s="6"/>
      <c r="H38" s="4"/>
      <c r="I38" s="182"/>
      <c r="J38" s="183"/>
    </row>
    <row r="39" spans="1:12" ht="15.75" x14ac:dyDescent="0.25">
      <c r="G39" s="6"/>
      <c r="H39" s="4"/>
      <c r="I39" s="182"/>
      <c r="J39" s="183"/>
    </row>
    <row r="40" spans="1:12" ht="15.75" x14ac:dyDescent="0.25">
      <c r="G40" s="6"/>
      <c r="H40" s="35"/>
      <c r="I40" s="182"/>
      <c r="J40" s="183"/>
      <c r="K40" s="204" t="s">
        <v>944</v>
      </c>
      <c r="L40" s="205"/>
    </row>
    <row r="41" spans="1:12" ht="15.75" x14ac:dyDescent="0.25">
      <c r="G41" s="6"/>
      <c r="H41" s="35"/>
      <c r="I41" s="182"/>
      <c r="J41" s="183"/>
    </row>
    <row r="42" spans="1:12" ht="15.75" x14ac:dyDescent="0.25">
      <c r="G42" s="6"/>
      <c r="H42" s="35"/>
      <c r="I42" s="182"/>
      <c r="J42" s="183"/>
    </row>
  </sheetData>
  <mergeCells count="60">
    <mergeCell ref="I9:J9"/>
    <mergeCell ref="I10:J10"/>
    <mergeCell ref="I8:J8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  <mergeCell ref="D27:E27"/>
    <mergeCell ref="K22:L22"/>
    <mergeCell ref="I11:J11"/>
    <mergeCell ref="I12:J12"/>
    <mergeCell ref="A17:B17"/>
    <mergeCell ref="I15:J15"/>
    <mergeCell ref="D18:E18"/>
    <mergeCell ref="I18:J18"/>
    <mergeCell ref="K25:L25"/>
    <mergeCell ref="I19:J19"/>
    <mergeCell ref="A24:B24"/>
    <mergeCell ref="I20:J20"/>
    <mergeCell ref="H21:L21"/>
    <mergeCell ref="G23:H23"/>
    <mergeCell ref="I23:J23"/>
    <mergeCell ref="K23:L23"/>
    <mergeCell ref="G24:H24"/>
    <mergeCell ref="I24:J24"/>
    <mergeCell ref="K24:L24"/>
    <mergeCell ref="A33:B33"/>
    <mergeCell ref="C33:D33"/>
    <mergeCell ref="E33:F33"/>
    <mergeCell ref="G28:J28"/>
    <mergeCell ref="K28:L28"/>
    <mergeCell ref="I30:J30"/>
    <mergeCell ref="I31:J31"/>
    <mergeCell ref="I32:J32"/>
    <mergeCell ref="K32:L32"/>
    <mergeCell ref="A32:B32"/>
    <mergeCell ref="C32:D32"/>
    <mergeCell ref="E32:F32"/>
    <mergeCell ref="I29:J29"/>
    <mergeCell ref="K29:L29"/>
    <mergeCell ref="A28:F30"/>
    <mergeCell ref="I42:J42"/>
    <mergeCell ref="I33:J33"/>
    <mergeCell ref="K33:L33"/>
    <mergeCell ref="I34:J34"/>
    <mergeCell ref="I35:J35"/>
    <mergeCell ref="I36:J36"/>
    <mergeCell ref="I37:J37"/>
    <mergeCell ref="I38:J38"/>
    <mergeCell ref="I39:J39"/>
    <mergeCell ref="I40:J40"/>
    <mergeCell ref="K40:L40"/>
    <mergeCell ref="I41:J4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37"/>
  <dimension ref="A1:L47"/>
  <sheetViews>
    <sheetView topLeftCell="E10" workbookViewId="0">
      <selection activeCell="K16" sqref="K16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495</v>
      </c>
      <c r="B1" s="184"/>
      <c r="C1" s="10"/>
      <c r="D1" s="199" t="s">
        <v>55</v>
      </c>
      <c r="E1" s="200"/>
      <c r="G1" s="184" t="s">
        <v>969</v>
      </c>
      <c r="H1" s="184"/>
      <c r="I1" s="184"/>
      <c r="J1" s="184"/>
      <c r="K1" s="184"/>
      <c r="L1" s="184"/>
    </row>
    <row r="2" spans="1:12" ht="18.75" x14ac:dyDescent="0.3">
      <c r="A2" s="184" t="s">
        <v>449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16275.900000000001</v>
      </c>
      <c r="C3" s="11"/>
      <c r="D3" s="5">
        <v>43532</v>
      </c>
      <c r="E3" s="4">
        <v>564.15</v>
      </c>
      <c r="F3" s="42" t="s">
        <v>973</v>
      </c>
      <c r="G3" s="6">
        <v>43535</v>
      </c>
      <c r="H3" s="7">
        <v>500</v>
      </c>
      <c r="I3" s="187" t="s">
        <v>290</v>
      </c>
      <c r="J3" s="188"/>
      <c r="K3" s="8" t="s">
        <v>867</v>
      </c>
      <c r="L3" s="8" t="s">
        <v>268</v>
      </c>
    </row>
    <row r="4" spans="1:12" ht="15.75" x14ac:dyDescent="0.25">
      <c r="A4" s="2" t="s">
        <v>3</v>
      </c>
      <c r="B4" s="3"/>
      <c r="C4" s="11"/>
      <c r="D4" s="5">
        <v>43483</v>
      </c>
      <c r="E4" s="4">
        <v>478.41</v>
      </c>
      <c r="F4" t="s">
        <v>997</v>
      </c>
      <c r="G4" s="6">
        <v>43535</v>
      </c>
      <c r="H4" s="7">
        <v>1900</v>
      </c>
      <c r="I4" s="187" t="s">
        <v>763</v>
      </c>
      <c r="J4" s="188"/>
      <c r="K4" s="8" t="s">
        <v>884</v>
      </c>
      <c r="L4" s="8" t="s">
        <v>268</v>
      </c>
    </row>
    <row r="5" spans="1:12" ht="15.75" x14ac:dyDescent="0.25">
      <c r="A5" s="2" t="s">
        <v>4</v>
      </c>
      <c r="B5" s="3">
        <f>SUM(H35:H47)</f>
        <v>3335.73</v>
      </c>
      <c r="C5" s="11"/>
      <c r="D5" s="5"/>
      <c r="E5" s="4">
        <v>265</v>
      </c>
      <c r="F5" t="s">
        <v>974</v>
      </c>
      <c r="G5" s="6">
        <v>43536</v>
      </c>
      <c r="H5" s="7">
        <v>630</v>
      </c>
      <c r="I5" s="187" t="s">
        <v>788</v>
      </c>
      <c r="J5" s="188"/>
      <c r="K5" s="8" t="s">
        <v>977</v>
      </c>
      <c r="L5" s="8" t="s">
        <v>268</v>
      </c>
    </row>
    <row r="6" spans="1:12" ht="15.75" x14ac:dyDescent="0.25">
      <c r="A6" s="2"/>
      <c r="B6" s="3"/>
      <c r="C6" s="11"/>
      <c r="D6" s="22">
        <v>43543</v>
      </c>
      <c r="E6" s="4">
        <v>174.17</v>
      </c>
      <c r="F6" t="s">
        <v>975</v>
      </c>
      <c r="G6" s="6">
        <v>43537</v>
      </c>
      <c r="H6" s="7">
        <v>750</v>
      </c>
      <c r="I6" s="187" t="s">
        <v>763</v>
      </c>
      <c r="J6" s="188"/>
      <c r="K6" s="8" t="s">
        <v>976</v>
      </c>
      <c r="L6" s="8" t="s">
        <v>267</v>
      </c>
    </row>
    <row r="7" spans="1:12" ht="15.75" x14ac:dyDescent="0.25">
      <c r="A7" s="12" t="s">
        <v>5</v>
      </c>
      <c r="B7" s="25">
        <f>B3+B4-B5</f>
        <v>12940.170000000002</v>
      </c>
      <c r="C7" s="11"/>
      <c r="D7" s="22">
        <v>43512</v>
      </c>
      <c r="E7" s="4">
        <v>343.66</v>
      </c>
      <c r="F7" t="s">
        <v>985</v>
      </c>
      <c r="G7" s="6">
        <v>43538</v>
      </c>
      <c r="H7" s="7">
        <v>730</v>
      </c>
      <c r="I7" s="187" t="s">
        <v>788</v>
      </c>
      <c r="J7" s="188"/>
      <c r="K7" s="8" t="s">
        <v>978</v>
      </c>
      <c r="L7" s="8" t="s">
        <v>268</v>
      </c>
    </row>
    <row r="8" spans="1:12" ht="15.75" x14ac:dyDescent="0.25">
      <c r="A8" s="2"/>
      <c r="B8" s="3"/>
      <c r="C8" s="11"/>
      <c r="D8" s="22"/>
      <c r="E8" s="4"/>
      <c r="G8" s="6">
        <v>43538</v>
      </c>
      <c r="H8" s="7">
        <v>642.85</v>
      </c>
      <c r="I8" s="187" t="s">
        <v>788</v>
      </c>
      <c r="J8" s="188"/>
      <c r="K8" s="8" t="s">
        <v>914</v>
      </c>
      <c r="L8" s="8" t="s">
        <v>268</v>
      </c>
    </row>
    <row r="9" spans="1:12" ht="15.75" x14ac:dyDescent="0.25">
      <c r="A9" s="2"/>
      <c r="B9" s="3"/>
      <c r="C9" s="11"/>
      <c r="D9" s="44"/>
      <c r="E9" s="4"/>
      <c r="G9" s="6">
        <v>43542</v>
      </c>
      <c r="H9" s="7">
        <v>250</v>
      </c>
      <c r="I9" s="187" t="s">
        <v>788</v>
      </c>
      <c r="J9" s="188"/>
      <c r="K9" s="8" t="s">
        <v>980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43543</v>
      </c>
      <c r="H10" s="7">
        <v>865.39</v>
      </c>
      <c r="I10" s="36" t="s">
        <v>981</v>
      </c>
      <c r="J10" s="37"/>
      <c r="K10" s="8" t="s">
        <v>2268</v>
      </c>
      <c r="L10" s="8" t="s">
        <v>267</v>
      </c>
    </row>
    <row r="11" spans="1:12" ht="15.75" x14ac:dyDescent="0.25">
      <c r="A11" s="2" t="s">
        <v>59</v>
      </c>
      <c r="B11" s="3">
        <f>(B7-B9)/2</f>
        <v>6470.0850000000009</v>
      </c>
      <c r="C11" s="11"/>
      <c r="D11" s="2"/>
      <c r="E11" s="4"/>
      <c r="F11" s="42"/>
      <c r="G11" s="6">
        <v>43543</v>
      </c>
      <c r="H11" s="7">
        <v>225</v>
      </c>
      <c r="I11" s="187" t="s">
        <v>788</v>
      </c>
      <c r="J11" s="188"/>
      <c r="K11" s="8" t="s">
        <v>959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43544</v>
      </c>
      <c r="H12" s="7">
        <v>1000</v>
      </c>
      <c r="I12" s="187" t="s">
        <v>983</v>
      </c>
      <c r="J12" s="188"/>
      <c r="K12" s="8" t="s">
        <v>982</v>
      </c>
      <c r="L12" s="8" t="s">
        <v>267</v>
      </c>
    </row>
    <row r="13" spans="1:12" ht="15.75" x14ac:dyDescent="0.25">
      <c r="A13" s="2"/>
      <c r="B13" s="3"/>
      <c r="C13" s="11"/>
      <c r="D13" s="5"/>
      <c r="E13" s="4"/>
      <c r="G13" s="6">
        <v>43544</v>
      </c>
      <c r="H13" s="7">
        <v>1376.66</v>
      </c>
      <c r="I13" s="187" t="s">
        <v>788</v>
      </c>
      <c r="J13" s="188"/>
      <c r="K13" s="8" t="s">
        <v>984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43545</v>
      </c>
      <c r="H14" s="7">
        <v>500</v>
      </c>
      <c r="I14" s="187" t="s">
        <v>412</v>
      </c>
      <c r="J14" s="188"/>
      <c r="K14" s="8" t="s">
        <v>2240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43545</v>
      </c>
      <c r="H15" s="7">
        <v>500</v>
      </c>
      <c r="I15" s="187" t="s">
        <v>139</v>
      </c>
      <c r="J15" s="188"/>
      <c r="K15" s="8" t="s">
        <v>2243</v>
      </c>
      <c r="L15" s="8" t="s">
        <v>267</v>
      </c>
    </row>
    <row r="16" spans="1:12" ht="15.75" x14ac:dyDescent="0.25">
      <c r="A16" s="2"/>
      <c r="B16" s="2"/>
      <c r="C16" s="1"/>
      <c r="D16" s="22"/>
      <c r="E16" s="4"/>
      <c r="G16" s="6">
        <v>43549</v>
      </c>
      <c r="H16" s="7">
        <v>705</v>
      </c>
      <c r="I16" s="187" t="s">
        <v>165</v>
      </c>
      <c r="J16" s="188"/>
      <c r="K16" s="8" t="s">
        <v>728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1825.39</v>
      </c>
      <c r="G17" s="6">
        <v>43549</v>
      </c>
      <c r="H17" s="7">
        <v>100</v>
      </c>
      <c r="I17" s="187" t="s">
        <v>868</v>
      </c>
      <c r="J17" s="188"/>
      <c r="K17" s="8" t="s">
        <v>986</v>
      </c>
      <c r="L17" s="8" t="s">
        <v>268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43552</v>
      </c>
      <c r="H18" s="7">
        <v>1000</v>
      </c>
      <c r="I18" s="187" t="s">
        <v>165</v>
      </c>
      <c r="J18" s="188"/>
      <c r="K18" s="8" t="s">
        <v>1194</v>
      </c>
      <c r="L18" s="8" t="s">
        <v>267</v>
      </c>
    </row>
    <row r="19" spans="1:12" ht="15.75" x14ac:dyDescent="0.25">
      <c r="A19" s="2" t="s">
        <v>57</v>
      </c>
      <c r="B19" s="3">
        <f>B11-E17</f>
        <v>4644.6950000000006</v>
      </c>
      <c r="C19" s="1"/>
      <c r="D19" s="2" t="s">
        <v>1</v>
      </c>
      <c r="E19" s="2" t="s">
        <v>6</v>
      </c>
      <c r="G19" s="6">
        <v>43552</v>
      </c>
      <c r="H19" s="7">
        <v>900</v>
      </c>
      <c r="I19" s="187" t="s">
        <v>788</v>
      </c>
      <c r="J19" s="188"/>
      <c r="K19" s="8" t="s">
        <v>2231</v>
      </c>
      <c r="L19" s="8" t="s">
        <v>268</v>
      </c>
    </row>
    <row r="20" spans="1:12" ht="15.75" x14ac:dyDescent="0.25">
      <c r="A20" s="2" t="s">
        <v>12</v>
      </c>
      <c r="B20" s="3">
        <f>B11-E25</f>
        <v>6470.0850000000009</v>
      </c>
      <c r="C20" s="1"/>
      <c r="D20" s="5"/>
      <c r="E20" s="21"/>
      <c r="G20" s="6">
        <v>43553</v>
      </c>
      <c r="H20" s="7">
        <v>1950</v>
      </c>
      <c r="I20" s="187" t="s">
        <v>719</v>
      </c>
      <c r="J20" s="188"/>
      <c r="K20" s="8" t="s">
        <v>987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43556</v>
      </c>
      <c r="H21" s="7">
        <v>100</v>
      </c>
      <c r="I21" s="36" t="s">
        <v>988</v>
      </c>
      <c r="J21" s="37"/>
      <c r="K21" s="8" t="s">
        <v>989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43556</v>
      </c>
      <c r="H22" s="7">
        <v>101</v>
      </c>
      <c r="I22" s="187" t="s">
        <v>788</v>
      </c>
      <c r="J22" s="188"/>
      <c r="K22" s="8" t="s">
        <v>1004</v>
      </c>
      <c r="L22" s="8" t="s">
        <v>268</v>
      </c>
    </row>
    <row r="23" spans="1:12" ht="15.75" x14ac:dyDescent="0.25">
      <c r="A23" s="1"/>
      <c r="B23" s="1"/>
      <c r="C23" s="1"/>
      <c r="D23" s="22"/>
      <c r="E23" s="21"/>
      <c r="F23" s="1"/>
      <c r="G23" s="6">
        <v>43560</v>
      </c>
      <c r="H23" s="7">
        <v>700</v>
      </c>
      <c r="I23" s="187" t="s">
        <v>788</v>
      </c>
      <c r="J23" s="188"/>
      <c r="K23" s="8" t="s">
        <v>1005</v>
      </c>
      <c r="L23" s="8" t="s">
        <v>268</v>
      </c>
    </row>
    <row r="24" spans="1:12" ht="15.75" x14ac:dyDescent="0.25">
      <c r="A24" s="196" t="s">
        <v>972</v>
      </c>
      <c r="B24" s="196"/>
      <c r="C24" s="1"/>
      <c r="D24" s="22"/>
      <c r="E24" s="21"/>
      <c r="F24" s="1"/>
      <c r="G24" s="6">
        <v>43563</v>
      </c>
      <c r="H24" s="7">
        <v>350</v>
      </c>
      <c r="I24" s="36" t="s">
        <v>990</v>
      </c>
      <c r="J24" s="37"/>
      <c r="K24" s="8" t="s">
        <v>950</v>
      </c>
      <c r="L24" s="8" t="s">
        <v>267</v>
      </c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>
        <v>43565</v>
      </c>
      <c r="H25" s="7">
        <v>500</v>
      </c>
      <c r="I25" s="187" t="s">
        <v>788</v>
      </c>
      <c r="J25" s="188"/>
      <c r="K25" s="8" t="s">
        <v>978</v>
      </c>
      <c r="L25" s="8" t="s">
        <v>268</v>
      </c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16275.900000000001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970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43532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43544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43551</v>
      </c>
      <c r="H37" s="7">
        <v>170.07</v>
      </c>
      <c r="I37" s="182" t="s">
        <v>145</v>
      </c>
      <c r="J37" s="183"/>
      <c r="K37" s="180"/>
      <c r="L37" s="180"/>
    </row>
    <row r="38" spans="1:12" ht="15.75" x14ac:dyDescent="0.25">
      <c r="G38" s="6">
        <v>43551</v>
      </c>
      <c r="H38" s="7">
        <v>115.66</v>
      </c>
      <c r="I38" s="182" t="s">
        <v>145</v>
      </c>
      <c r="J38" s="183"/>
      <c r="K38" s="180"/>
      <c r="L38" s="180"/>
    </row>
    <row r="39" spans="1:12" ht="15.75" x14ac:dyDescent="0.25">
      <c r="G39" s="6">
        <v>43553</v>
      </c>
      <c r="H39" s="7">
        <v>600</v>
      </c>
      <c r="I39" s="182" t="s">
        <v>991</v>
      </c>
      <c r="J39" s="183"/>
    </row>
    <row r="40" spans="1:12" ht="15.75" x14ac:dyDescent="0.25">
      <c r="G40" s="6">
        <v>43563</v>
      </c>
      <c r="H40" s="4">
        <v>50</v>
      </c>
      <c r="I40" s="182" t="s">
        <v>992</v>
      </c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971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6"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  <mergeCell ref="G33:J33"/>
    <mergeCell ref="K33:L33"/>
    <mergeCell ref="I34:J34"/>
    <mergeCell ref="K34:L34"/>
    <mergeCell ref="I35:J35"/>
    <mergeCell ref="A32:B32"/>
    <mergeCell ref="C32:D32"/>
    <mergeCell ref="E32:F32"/>
    <mergeCell ref="A33:B33"/>
    <mergeCell ref="C33:D33"/>
    <mergeCell ref="E33:F33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I25:J25"/>
    <mergeCell ref="A17:B17"/>
    <mergeCell ref="I17:J17"/>
    <mergeCell ref="D18:E18"/>
    <mergeCell ref="I18:J18"/>
    <mergeCell ref="I19:J19"/>
    <mergeCell ref="I20:J20"/>
    <mergeCell ref="I22:J22"/>
    <mergeCell ref="I23:J23"/>
    <mergeCell ref="A24:B24"/>
    <mergeCell ref="I16:J16"/>
    <mergeCell ref="I3:J3"/>
    <mergeCell ref="I4:J4"/>
    <mergeCell ref="I5:J5"/>
    <mergeCell ref="I6:J6"/>
    <mergeCell ref="I7:J7"/>
    <mergeCell ref="I8:J8"/>
    <mergeCell ref="I9:J9"/>
    <mergeCell ref="I11:J11"/>
    <mergeCell ref="I12:J12"/>
    <mergeCell ref="I15:J15"/>
    <mergeCell ref="I13:J13"/>
    <mergeCell ref="I14:J14"/>
    <mergeCell ref="A1:B1"/>
    <mergeCell ref="D1:E1"/>
    <mergeCell ref="G1:L1"/>
    <mergeCell ref="A2:B2"/>
    <mergeCell ref="D2:E2"/>
    <mergeCell ref="I2:J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8"/>
  <dimension ref="A1:L47"/>
  <sheetViews>
    <sheetView topLeftCell="F3" workbookViewId="0">
      <selection activeCell="K17" sqref="K17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494</v>
      </c>
      <c r="B1" s="184"/>
      <c r="C1" s="10"/>
      <c r="D1" s="199" t="s">
        <v>55</v>
      </c>
      <c r="E1" s="200"/>
      <c r="G1" s="184" t="s">
        <v>1024</v>
      </c>
      <c r="H1" s="184"/>
      <c r="I1" s="184"/>
      <c r="J1" s="184"/>
      <c r="K1" s="184"/>
      <c r="L1" s="184"/>
    </row>
    <row r="2" spans="1:12" ht="18.75" x14ac:dyDescent="0.3">
      <c r="A2" s="184" t="s">
        <v>493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19628.61</v>
      </c>
      <c r="C3" s="11"/>
      <c r="D3" s="5">
        <v>43483</v>
      </c>
      <c r="E3" s="4">
        <v>478.41</v>
      </c>
      <c r="F3" t="s">
        <v>998</v>
      </c>
      <c r="G3" s="6">
        <v>43566</v>
      </c>
      <c r="H3" s="7">
        <v>500</v>
      </c>
      <c r="I3" s="187" t="s">
        <v>290</v>
      </c>
      <c r="J3" s="188"/>
      <c r="K3" s="8" t="s">
        <v>867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>
        <v>265</v>
      </c>
      <c r="F4" t="s">
        <v>999</v>
      </c>
      <c r="G4" s="6">
        <v>43570</v>
      </c>
      <c r="H4" s="7">
        <v>1200</v>
      </c>
      <c r="I4" s="187" t="s">
        <v>46</v>
      </c>
      <c r="J4" s="188"/>
      <c r="K4" s="8" t="s">
        <v>978</v>
      </c>
      <c r="L4" s="8" t="s">
        <v>268</v>
      </c>
    </row>
    <row r="5" spans="1:12" ht="15.75" x14ac:dyDescent="0.25">
      <c r="A5" s="2" t="s">
        <v>4</v>
      </c>
      <c r="B5" s="3">
        <f>SUM(H35:H47)</f>
        <v>5743.45</v>
      </c>
      <c r="C5" s="11"/>
      <c r="D5" s="22">
        <v>43543</v>
      </c>
      <c r="E5" s="4">
        <v>174.17</v>
      </c>
      <c r="F5" t="s">
        <v>1000</v>
      </c>
      <c r="G5" s="6">
        <v>43570</v>
      </c>
      <c r="H5" s="7">
        <v>256.2</v>
      </c>
      <c r="I5" s="187" t="s">
        <v>46</v>
      </c>
      <c r="J5" s="188"/>
      <c r="K5" s="8" t="s">
        <v>959</v>
      </c>
      <c r="L5" s="8" t="s">
        <v>268</v>
      </c>
    </row>
    <row r="6" spans="1:12" ht="15.75" x14ac:dyDescent="0.25">
      <c r="A6" s="2"/>
      <c r="B6" s="3"/>
      <c r="C6" s="11"/>
      <c r="D6" s="22">
        <v>43512</v>
      </c>
      <c r="E6" s="4">
        <v>343.66</v>
      </c>
      <c r="F6" t="s">
        <v>1001</v>
      </c>
      <c r="G6" s="6">
        <v>43572</v>
      </c>
      <c r="H6" s="7">
        <v>652.78</v>
      </c>
      <c r="I6" s="187" t="s">
        <v>46</v>
      </c>
      <c r="J6" s="188"/>
      <c r="K6" s="8" t="s">
        <v>1006</v>
      </c>
      <c r="L6" s="8" t="s">
        <v>268</v>
      </c>
    </row>
    <row r="7" spans="1:12" ht="15.75" x14ac:dyDescent="0.25">
      <c r="A7" s="12" t="s">
        <v>5</v>
      </c>
      <c r="B7" s="25">
        <f>B3+B4-B5</f>
        <v>13885.16</v>
      </c>
      <c r="C7" s="11"/>
      <c r="D7" s="22"/>
      <c r="E7" s="4">
        <v>1000</v>
      </c>
      <c r="F7" t="s">
        <v>1007</v>
      </c>
      <c r="G7" s="6">
        <v>43573</v>
      </c>
      <c r="H7" s="7">
        <v>1000</v>
      </c>
      <c r="I7" s="187" t="s">
        <v>429</v>
      </c>
      <c r="J7" s="188"/>
      <c r="K7" s="8" t="s">
        <v>384</v>
      </c>
      <c r="L7" s="8" t="s">
        <v>267</v>
      </c>
    </row>
    <row r="8" spans="1:12" ht="15.75" x14ac:dyDescent="0.25">
      <c r="A8" s="2"/>
      <c r="B8" s="3"/>
      <c r="C8" s="11"/>
      <c r="D8" s="22">
        <v>43591</v>
      </c>
      <c r="E8" s="4">
        <v>2027</v>
      </c>
      <c r="F8" t="s">
        <v>1030</v>
      </c>
      <c r="G8" s="6">
        <v>43578</v>
      </c>
      <c r="H8" s="7">
        <v>500</v>
      </c>
      <c r="I8" s="187" t="s">
        <v>165</v>
      </c>
      <c r="J8" s="188"/>
      <c r="K8" s="8" t="s">
        <v>2240</v>
      </c>
      <c r="L8" s="8" t="s">
        <v>267</v>
      </c>
    </row>
    <row r="9" spans="1:12" ht="15.75" x14ac:dyDescent="0.25">
      <c r="A9" s="2"/>
      <c r="B9" s="3"/>
      <c r="C9" s="11"/>
      <c r="D9" s="44"/>
      <c r="E9" s="4"/>
      <c r="G9" s="6">
        <v>43579</v>
      </c>
      <c r="H9" s="7">
        <v>1319</v>
      </c>
      <c r="I9" s="187" t="s">
        <v>46</v>
      </c>
      <c r="J9" s="188"/>
      <c r="K9" s="8" t="s">
        <v>1009</v>
      </c>
      <c r="L9" s="8" t="s">
        <v>268</v>
      </c>
    </row>
    <row r="10" spans="1:12" ht="15.75" x14ac:dyDescent="0.25">
      <c r="A10" s="2"/>
      <c r="B10" s="3"/>
      <c r="C10" s="11"/>
      <c r="D10" s="5"/>
      <c r="E10" s="43"/>
      <c r="G10" s="6">
        <v>43584</v>
      </c>
      <c r="H10" s="7">
        <v>4000</v>
      </c>
      <c r="I10" s="187" t="s">
        <v>46</v>
      </c>
      <c r="J10" s="188"/>
      <c r="K10" s="8" t="s">
        <v>1031</v>
      </c>
      <c r="L10" s="8" t="s">
        <v>268</v>
      </c>
    </row>
    <row r="11" spans="1:12" ht="15.75" x14ac:dyDescent="0.25">
      <c r="A11" s="2" t="s">
        <v>59</v>
      </c>
      <c r="B11" s="3">
        <f>(B7-B9)/2</f>
        <v>6942.58</v>
      </c>
      <c r="C11" s="11"/>
      <c r="D11" s="2"/>
      <c r="E11" s="4"/>
      <c r="F11" s="42"/>
      <c r="G11" s="6">
        <v>43584</v>
      </c>
      <c r="H11" s="7">
        <v>1500</v>
      </c>
      <c r="I11" s="187" t="s">
        <v>46</v>
      </c>
      <c r="J11" s="188"/>
      <c r="K11" s="8" t="s">
        <v>2231</v>
      </c>
      <c r="L11" s="8" t="s">
        <v>268</v>
      </c>
    </row>
    <row r="12" spans="1:12" ht="15.75" x14ac:dyDescent="0.25">
      <c r="A12" s="2"/>
      <c r="B12" s="3"/>
      <c r="C12" s="11"/>
      <c r="D12" s="5"/>
      <c r="E12" s="4"/>
      <c r="G12" s="6">
        <v>43584</v>
      </c>
      <c r="H12" s="7">
        <v>300</v>
      </c>
      <c r="I12" s="187" t="s">
        <v>46</v>
      </c>
      <c r="J12" s="188"/>
      <c r="K12" s="8" t="s">
        <v>1008</v>
      </c>
      <c r="L12" s="8" t="s">
        <v>268</v>
      </c>
    </row>
    <row r="13" spans="1:12" ht="15.75" x14ac:dyDescent="0.25">
      <c r="A13" s="2"/>
      <c r="B13" s="3"/>
      <c r="C13" s="11"/>
      <c r="D13" s="5"/>
      <c r="E13" s="4"/>
      <c r="G13" s="6">
        <v>43585</v>
      </c>
      <c r="H13" s="7">
        <v>500</v>
      </c>
      <c r="I13" s="187" t="s">
        <v>855</v>
      </c>
      <c r="J13" s="188"/>
      <c r="K13" s="8" t="s">
        <v>1017</v>
      </c>
      <c r="L13" s="8" t="s">
        <v>268</v>
      </c>
    </row>
    <row r="14" spans="1:12" ht="15.75" x14ac:dyDescent="0.25">
      <c r="A14" s="2"/>
      <c r="B14" s="3"/>
      <c r="C14" s="11"/>
      <c r="D14" s="5"/>
      <c r="E14" s="4"/>
      <c r="G14" s="6">
        <v>43585</v>
      </c>
      <c r="H14" s="7">
        <v>100</v>
      </c>
      <c r="I14" s="187" t="s">
        <v>855</v>
      </c>
      <c r="J14" s="188"/>
      <c r="K14" s="8" t="s">
        <v>1010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43591</v>
      </c>
      <c r="H15" s="7">
        <v>288.63</v>
      </c>
      <c r="I15" s="187" t="s">
        <v>855</v>
      </c>
      <c r="J15" s="188"/>
      <c r="K15" s="8" t="s">
        <v>1011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43591</v>
      </c>
      <c r="H16" s="7">
        <v>500</v>
      </c>
      <c r="I16" s="187" t="s">
        <v>1013</v>
      </c>
      <c r="J16" s="188"/>
      <c r="K16" s="8" t="s">
        <v>2275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4288.24</v>
      </c>
      <c r="G17" s="6">
        <v>43592</v>
      </c>
      <c r="H17" s="7">
        <v>5312</v>
      </c>
      <c r="I17" s="36" t="s">
        <v>1012</v>
      </c>
      <c r="J17" s="37"/>
      <c r="K17" s="8" t="s">
        <v>317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43593</v>
      </c>
      <c r="H18" s="7">
        <v>350</v>
      </c>
      <c r="I18" s="36" t="s">
        <v>1015</v>
      </c>
      <c r="J18" s="37"/>
      <c r="K18" s="8" t="s">
        <v>1016</v>
      </c>
      <c r="L18" s="8" t="s">
        <v>268</v>
      </c>
    </row>
    <row r="19" spans="1:12" ht="15.75" x14ac:dyDescent="0.25">
      <c r="A19" s="2" t="s">
        <v>57</v>
      </c>
      <c r="B19" s="3">
        <f>B11-E17</f>
        <v>2654.34</v>
      </c>
      <c r="C19" s="1"/>
      <c r="D19" s="2" t="s">
        <v>1</v>
      </c>
      <c r="E19" s="2" t="s">
        <v>6</v>
      </c>
      <c r="G19" s="6">
        <v>43594</v>
      </c>
      <c r="H19" s="7">
        <v>350</v>
      </c>
      <c r="I19" s="187" t="s">
        <v>763</v>
      </c>
      <c r="J19" s="188"/>
      <c r="K19" s="8" t="s">
        <v>950</v>
      </c>
      <c r="L19" s="8" t="s">
        <v>267</v>
      </c>
    </row>
    <row r="20" spans="1:12" ht="15.75" x14ac:dyDescent="0.25">
      <c r="A20" s="2" t="s">
        <v>12</v>
      </c>
      <c r="B20" s="3">
        <f>B11-E25</f>
        <v>6942.58</v>
      </c>
      <c r="C20" s="1"/>
      <c r="D20" s="5"/>
      <c r="E20" s="21"/>
      <c r="G20" s="6">
        <v>43595</v>
      </c>
      <c r="H20" s="7">
        <v>500</v>
      </c>
      <c r="I20" s="187" t="s">
        <v>763</v>
      </c>
      <c r="J20" s="188"/>
      <c r="K20" s="8" t="s">
        <v>1029</v>
      </c>
      <c r="L20" s="8" t="s">
        <v>267</v>
      </c>
    </row>
    <row r="21" spans="1:12" ht="15.75" x14ac:dyDescent="0.25">
      <c r="A21" s="2"/>
      <c r="B21" s="2"/>
      <c r="C21" s="1"/>
      <c r="D21" s="5"/>
      <c r="E21" s="21"/>
      <c r="G21" s="6">
        <v>43595</v>
      </c>
      <c r="H21" s="7">
        <v>500</v>
      </c>
      <c r="I21" s="187" t="s">
        <v>290</v>
      </c>
      <c r="J21" s="188"/>
      <c r="K21" s="8" t="s">
        <v>1032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/>
      <c r="H22" s="7"/>
      <c r="I22" s="187"/>
      <c r="J22" s="188"/>
      <c r="K22" s="8"/>
      <c r="L22" s="8"/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1002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19628.61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1002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43564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43577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43592</v>
      </c>
      <c r="H37" s="7">
        <v>500</v>
      </c>
      <c r="I37" s="182" t="s">
        <v>1014</v>
      </c>
      <c r="J37" s="183"/>
      <c r="K37" s="180"/>
      <c r="L37" s="180"/>
    </row>
    <row r="38" spans="1:12" ht="15.75" x14ac:dyDescent="0.25">
      <c r="G38" s="6">
        <v>43593</v>
      </c>
      <c r="H38" s="7">
        <v>101.48</v>
      </c>
      <c r="I38" s="182" t="s">
        <v>1025</v>
      </c>
      <c r="J38" s="183"/>
      <c r="K38" s="180"/>
      <c r="L38" s="180"/>
    </row>
    <row r="39" spans="1:12" ht="15.75" x14ac:dyDescent="0.25">
      <c r="G39" s="6">
        <v>43593</v>
      </c>
      <c r="H39" s="7">
        <v>98.7</v>
      </c>
      <c r="I39" s="182" t="s">
        <v>1026</v>
      </c>
      <c r="J39" s="183"/>
    </row>
    <row r="40" spans="1:12" ht="15.75" x14ac:dyDescent="0.25">
      <c r="G40" s="6">
        <v>43594</v>
      </c>
      <c r="H40" s="4">
        <v>25.11</v>
      </c>
      <c r="I40" s="182" t="s">
        <v>1028</v>
      </c>
      <c r="J40" s="183"/>
    </row>
    <row r="41" spans="1:12" ht="15.75" x14ac:dyDescent="0.25">
      <c r="G41" s="6">
        <v>43595</v>
      </c>
      <c r="H41" s="4">
        <v>2618.16</v>
      </c>
      <c r="I41" s="182" t="s">
        <v>1027</v>
      </c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1003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7">
    <mergeCell ref="A1:B1"/>
    <mergeCell ref="D1:E1"/>
    <mergeCell ref="G1:L1"/>
    <mergeCell ref="A2:B2"/>
    <mergeCell ref="D2:E2"/>
    <mergeCell ref="I2:J2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2:J12"/>
    <mergeCell ref="I13:J13"/>
    <mergeCell ref="A24:B24"/>
    <mergeCell ref="I24:J24"/>
    <mergeCell ref="I15:J15"/>
    <mergeCell ref="I16:J16"/>
    <mergeCell ref="A17:B17"/>
    <mergeCell ref="D18:E18"/>
    <mergeCell ref="I19:J19"/>
    <mergeCell ref="I20:J20"/>
    <mergeCell ref="I21:J21"/>
    <mergeCell ref="I22:J22"/>
    <mergeCell ref="I23:J23"/>
    <mergeCell ref="I25:J25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I34:J34"/>
    <mergeCell ref="K34:L34"/>
    <mergeCell ref="A33:B33"/>
    <mergeCell ref="C33:D33"/>
    <mergeCell ref="E33:F33"/>
    <mergeCell ref="G33:J33"/>
    <mergeCell ref="K33:L33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9"/>
  <dimension ref="A1:L47"/>
  <sheetViews>
    <sheetView topLeftCell="E7" workbookViewId="0">
      <selection activeCell="K10" sqref="K10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552</v>
      </c>
      <c r="B1" s="184"/>
      <c r="C1" s="10"/>
      <c r="D1" s="199" t="s">
        <v>55</v>
      </c>
      <c r="E1" s="200"/>
      <c r="G1" s="184" t="s">
        <v>1023</v>
      </c>
      <c r="H1" s="184"/>
      <c r="I1" s="184"/>
      <c r="J1" s="184"/>
      <c r="K1" s="184"/>
      <c r="L1" s="184"/>
    </row>
    <row r="2" spans="1:12" ht="18.75" x14ac:dyDescent="0.3">
      <c r="A2" s="184" t="s">
        <v>513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20818.57</v>
      </c>
      <c r="C3" s="11"/>
      <c r="D3" s="5"/>
      <c r="E3" s="4"/>
      <c r="G3" s="6">
        <v>43598</v>
      </c>
      <c r="H3" s="7">
        <v>1000</v>
      </c>
      <c r="I3" s="187" t="s">
        <v>46</v>
      </c>
      <c r="J3" s="188"/>
      <c r="K3" s="8" t="s">
        <v>1033</v>
      </c>
      <c r="L3" s="8" t="s">
        <v>268</v>
      </c>
    </row>
    <row r="4" spans="1:12" ht="15.75" x14ac:dyDescent="0.25">
      <c r="A4" s="2" t="s">
        <v>3</v>
      </c>
      <c r="B4" s="3"/>
      <c r="C4" s="11"/>
      <c r="D4" s="5"/>
      <c r="E4" s="4">
        <v>265</v>
      </c>
      <c r="F4" t="s">
        <v>1018</v>
      </c>
      <c r="G4" s="6">
        <v>43600</v>
      </c>
      <c r="H4" s="7">
        <v>256.2</v>
      </c>
      <c r="I4" s="187" t="s">
        <v>46</v>
      </c>
      <c r="J4" s="188"/>
      <c r="K4" s="8" t="s">
        <v>959</v>
      </c>
      <c r="L4" s="8" t="s">
        <v>268</v>
      </c>
    </row>
    <row r="5" spans="1:12" ht="15.75" x14ac:dyDescent="0.25">
      <c r="A5" s="2" t="s">
        <v>4</v>
      </c>
      <c r="B5" s="3">
        <f>SUM(H35:H47)</f>
        <v>4283.84</v>
      </c>
      <c r="C5" s="11"/>
      <c r="D5" s="22">
        <v>43543</v>
      </c>
      <c r="E5" s="4">
        <v>174.17</v>
      </c>
      <c r="F5" t="s">
        <v>1019</v>
      </c>
      <c r="G5" s="6">
        <v>43600</v>
      </c>
      <c r="H5" s="7">
        <v>250</v>
      </c>
      <c r="I5" s="187" t="s">
        <v>46</v>
      </c>
      <c r="J5" s="188"/>
      <c r="K5" s="8" t="s">
        <v>980</v>
      </c>
      <c r="L5" s="8" t="s">
        <v>268</v>
      </c>
    </row>
    <row r="6" spans="1:12" ht="15.75" x14ac:dyDescent="0.25">
      <c r="A6" s="2"/>
      <c r="B6" s="3"/>
      <c r="C6" s="11"/>
      <c r="D6" s="22">
        <v>43512</v>
      </c>
      <c r="E6" s="4">
        <v>343.66</v>
      </c>
      <c r="F6" t="s">
        <v>1020</v>
      </c>
      <c r="G6" s="6">
        <v>43601</v>
      </c>
      <c r="H6" s="7">
        <v>1519</v>
      </c>
      <c r="I6" s="187" t="s">
        <v>763</v>
      </c>
      <c r="J6" s="188"/>
      <c r="K6" s="8" t="s">
        <v>317</v>
      </c>
      <c r="L6" s="8" t="s">
        <v>267</v>
      </c>
    </row>
    <row r="7" spans="1:12" ht="15.75" x14ac:dyDescent="0.25">
      <c r="A7" s="12" t="s">
        <v>5</v>
      </c>
      <c r="B7" s="25">
        <f>B3+B4-B5</f>
        <v>16534.73</v>
      </c>
      <c r="C7" s="11"/>
      <c r="D7" s="22">
        <v>43572</v>
      </c>
      <c r="E7" s="4">
        <v>527.9</v>
      </c>
      <c r="F7" t="s">
        <v>1037</v>
      </c>
      <c r="G7" s="6">
        <v>43605</v>
      </c>
      <c r="H7" s="7">
        <v>750</v>
      </c>
      <c r="I7" s="187" t="s">
        <v>763</v>
      </c>
      <c r="J7" s="188"/>
      <c r="K7" s="8" t="s">
        <v>1035</v>
      </c>
      <c r="L7" s="8" t="s">
        <v>267</v>
      </c>
    </row>
    <row r="8" spans="1:12" ht="15.75" x14ac:dyDescent="0.25">
      <c r="A8" s="2"/>
      <c r="B8" s="3"/>
      <c r="C8" s="11"/>
      <c r="D8" s="22">
        <v>43579</v>
      </c>
      <c r="E8" s="4">
        <v>31.92</v>
      </c>
      <c r="F8" t="s">
        <v>1038</v>
      </c>
      <c r="G8" s="6">
        <v>43606</v>
      </c>
      <c r="H8" s="7">
        <v>400</v>
      </c>
      <c r="I8" s="187" t="s">
        <v>46</v>
      </c>
      <c r="J8" s="188"/>
      <c r="K8" s="8" t="s">
        <v>1034</v>
      </c>
      <c r="L8" s="8" t="s">
        <v>268</v>
      </c>
    </row>
    <row r="9" spans="1:12" ht="15.75" x14ac:dyDescent="0.25">
      <c r="A9" s="2"/>
      <c r="B9" s="3"/>
      <c r="C9" s="11"/>
      <c r="D9" s="45">
        <v>43579</v>
      </c>
      <c r="E9" s="4">
        <v>59.94</v>
      </c>
      <c r="F9" t="s">
        <v>1039</v>
      </c>
      <c r="G9" s="6">
        <v>43606</v>
      </c>
      <c r="H9" s="7">
        <v>500</v>
      </c>
      <c r="I9" s="187" t="s">
        <v>165</v>
      </c>
      <c r="J9" s="188"/>
      <c r="K9" s="8" t="s">
        <v>2240</v>
      </c>
      <c r="L9" s="8" t="s">
        <v>267</v>
      </c>
    </row>
    <row r="10" spans="1:12" ht="15.75" x14ac:dyDescent="0.25">
      <c r="A10" s="2"/>
      <c r="B10" s="3"/>
      <c r="C10" s="11"/>
      <c r="D10" s="5">
        <v>43580</v>
      </c>
      <c r="E10" s="43">
        <v>130</v>
      </c>
      <c r="F10" t="s">
        <v>1040</v>
      </c>
      <c r="G10" s="6">
        <v>43609</v>
      </c>
      <c r="H10" s="7">
        <v>508.77</v>
      </c>
      <c r="I10" s="187" t="s">
        <v>719</v>
      </c>
      <c r="J10" s="188"/>
      <c r="K10" s="8" t="s">
        <v>1036</v>
      </c>
      <c r="L10" s="8" t="s">
        <v>267</v>
      </c>
    </row>
    <row r="11" spans="1:12" ht="15.75" x14ac:dyDescent="0.25">
      <c r="A11" s="2" t="s">
        <v>59</v>
      </c>
      <c r="B11" s="3">
        <f>(B7-B9)/2</f>
        <v>8267.3649999999998</v>
      </c>
      <c r="C11" s="11"/>
      <c r="D11" s="2"/>
      <c r="E11" s="4">
        <v>45</v>
      </c>
      <c r="F11" s="42" t="s">
        <v>1041</v>
      </c>
      <c r="G11" s="6">
        <v>43612</v>
      </c>
      <c r="H11" s="7">
        <v>3153.55</v>
      </c>
      <c r="I11" s="187" t="s">
        <v>1042</v>
      </c>
      <c r="J11" s="188"/>
      <c r="K11" s="8" t="s">
        <v>1043</v>
      </c>
      <c r="L11" s="8" t="s">
        <v>268</v>
      </c>
    </row>
    <row r="12" spans="1:12" ht="15.75" x14ac:dyDescent="0.25">
      <c r="A12" s="2"/>
      <c r="B12" s="3"/>
      <c r="C12" s="11"/>
      <c r="D12" s="5">
        <v>43621</v>
      </c>
      <c r="E12" s="4">
        <v>150</v>
      </c>
      <c r="F12" t="s">
        <v>109</v>
      </c>
      <c r="G12" s="6">
        <v>43612</v>
      </c>
      <c r="H12" s="7">
        <v>100</v>
      </c>
      <c r="I12" s="187" t="s">
        <v>1045</v>
      </c>
      <c r="J12" s="188"/>
      <c r="K12" s="8" t="s">
        <v>1010</v>
      </c>
      <c r="L12" s="8" t="s">
        <v>268</v>
      </c>
    </row>
    <row r="13" spans="1:12" ht="15.75" x14ac:dyDescent="0.25">
      <c r="A13" s="2"/>
      <c r="B13" s="3"/>
      <c r="C13" s="11"/>
      <c r="D13" s="5">
        <v>43623</v>
      </c>
      <c r="E13" s="4">
        <v>100</v>
      </c>
      <c r="F13" t="s">
        <v>1060</v>
      </c>
      <c r="G13" s="6">
        <v>43620</v>
      </c>
      <c r="H13" s="7">
        <v>481.05</v>
      </c>
      <c r="I13" s="187" t="s">
        <v>1049</v>
      </c>
      <c r="J13" s="188"/>
      <c r="K13" s="8" t="s">
        <v>1047</v>
      </c>
      <c r="L13" s="8" t="s">
        <v>267</v>
      </c>
    </row>
    <row r="14" spans="1:12" ht="15.75" x14ac:dyDescent="0.25">
      <c r="A14" s="2"/>
      <c r="B14" s="3"/>
      <c r="C14" s="11"/>
      <c r="D14" s="5"/>
      <c r="E14" s="4"/>
      <c r="G14" s="6">
        <v>43620</v>
      </c>
      <c r="H14" s="7">
        <v>1000</v>
      </c>
      <c r="I14" s="187" t="s">
        <v>139</v>
      </c>
      <c r="J14" s="188"/>
      <c r="K14" s="8" t="s">
        <v>1048</v>
      </c>
      <c r="L14" s="8" t="s">
        <v>268</v>
      </c>
    </row>
    <row r="15" spans="1:12" ht="15.75" x14ac:dyDescent="0.25">
      <c r="A15" s="2"/>
      <c r="B15" s="3"/>
      <c r="C15" s="11"/>
      <c r="D15" s="22"/>
      <c r="E15" s="4"/>
      <c r="G15" s="6">
        <v>43621</v>
      </c>
      <c r="H15" s="7">
        <v>2800</v>
      </c>
      <c r="I15" s="187" t="s">
        <v>46</v>
      </c>
      <c r="J15" s="188"/>
      <c r="K15" s="8" t="s">
        <v>1050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43622</v>
      </c>
      <c r="H16" s="7">
        <v>500</v>
      </c>
      <c r="I16" s="187" t="s">
        <v>46</v>
      </c>
      <c r="J16" s="188"/>
      <c r="K16" s="8" t="s">
        <v>1051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3" t="s">
        <v>23</v>
      </c>
      <c r="E17" s="24">
        <f>SUM(E3:E16)</f>
        <v>1827.5900000000001</v>
      </c>
      <c r="G17" s="6">
        <v>43622</v>
      </c>
      <c r="H17" s="7">
        <v>1750</v>
      </c>
      <c r="I17" s="187" t="s">
        <v>290</v>
      </c>
      <c r="J17" s="188"/>
      <c r="K17" s="8" t="s">
        <v>1052</v>
      </c>
      <c r="L17" s="8" t="s">
        <v>267</v>
      </c>
    </row>
    <row r="18" spans="1:12" ht="15.75" x14ac:dyDescent="0.25">
      <c r="A18" s="2"/>
      <c r="B18" s="3"/>
      <c r="C18" s="1"/>
      <c r="D18" s="189" t="s">
        <v>12</v>
      </c>
      <c r="E18" s="190"/>
      <c r="G18" s="6">
        <v>43623</v>
      </c>
      <c r="H18" s="7">
        <v>1000</v>
      </c>
      <c r="I18" s="187" t="s">
        <v>934</v>
      </c>
      <c r="J18" s="188"/>
      <c r="K18" s="8" t="s">
        <v>866</v>
      </c>
      <c r="L18" s="8" t="s">
        <v>268</v>
      </c>
    </row>
    <row r="19" spans="1:12" ht="15.75" x14ac:dyDescent="0.25">
      <c r="A19" s="2" t="s">
        <v>57</v>
      </c>
      <c r="B19" s="3">
        <f>B11-E17</f>
        <v>6439.7749999999996</v>
      </c>
      <c r="C19" s="1"/>
      <c r="D19" s="2" t="s">
        <v>1</v>
      </c>
      <c r="E19" s="2" t="s">
        <v>6</v>
      </c>
      <c r="G19" s="6">
        <v>43626</v>
      </c>
      <c r="H19" s="7">
        <v>500</v>
      </c>
      <c r="I19" s="187" t="s">
        <v>763</v>
      </c>
      <c r="J19" s="188"/>
      <c r="K19" s="8" t="s">
        <v>1029</v>
      </c>
      <c r="L19" s="8" t="s">
        <v>267</v>
      </c>
    </row>
    <row r="20" spans="1:12" ht="15.75" x14ac:dyDescent="0.25">
      <c r="A20" s="2" t="s">
        <v>12</v>
      </c>
      <c r="B20" s="3">
        <f>B11-E25</f>
        <v>8267.3649999999998</v>
      </c>
      <c r="C20" s="1"/>
      <c r="D20" s="5"/>
      <c r="E20" s="21"/>
      <c r="G20" s="6">
        <v>43626</v>
      </c>
      <c r="H20" s="7">
        <v>3000</v>
      </c>
      <c r="I20" s="187" t="s">
        <v>46</v>
      </c>
      <c r="J20" s="188"/>
      <c r="K20" s="8" t="s">
        <v>1053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43626</v>
      </c>
      <c r="H21" s="7">
        <v>1000</v>
      </c>
      <c r="I21" s="187" t="s">
        <v>139</v>
      </c>
      <c r="J21" s="188"/>
      <c r="K21" s="8" t="s">
        <v>2243</v>
      </c>
      <c r="L21" s="8" t="s">
        <v>267</v>
      </c>
    </row>
    <row r="22" spans="1:12" ht="15.75" x14ac:dyDescent="0.25">
      <c r="A22" s="2"/>
      <c r="B22" s="2"/>
      <c r="C22" s="1"/>
      <c r="D22" s="22"/>
      <c r="E22" s="21"/>
      <c r="G22" s="6">
        <v>43626</v>
      </c>
      <c r="H22" s="7">
        <v>350</v>
      </c>
      <c r="I22" s="187" t="s">
        <v>429</v>
      </c>
      <c r="J22" s="188"/>
      <c r="K22" s="8" t="s">
        <v>950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/>
      <c r="H23" s="7"/>
      <c r="I23" s="187"/>
      <c r="J23" s="188"/>
      <c r="K23" s="8"/>
      <c r="L23" s="8"/>
    </row>
    <row r="24" spans="1:12" ht="15.75" x14ac:dyDescent="0.25">
      <c r="A24" s="196" t="s">
        <v>1022</v>
      </c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SUM(E20:E24)</f>
        <v>0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20818.57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1022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43594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43605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43613</v>
      </c>
      <c r="H37" s="7">
        <v>104.71</v>
      </c>
      <c r="I37" s="182" t="s">
        <v>158</v>
      </c>
      <c r="J37" s="183"/>
      <c r="K37" s="180"/>
      <c r="L37" s="180"/>
    </row>
    <row r="38" spans="1:12" ht="15.75" x14ac:dyDescent="0.25">
      <c r="G38" s="6">
        <v>43613</v>
      </c>
      <c r="H38" s="7">
        <v>111.98</v>
      </c>
      <c r="I38" s="182" t="s">
        <v>158</v>
      </c>
      <c r="J38" s="183"/>
      <c r="K38" s="180"/>
      <c r="L38" s="180"/>
    </row>
    <row r="39" spans="1:12" ht="15.75" x14ac:dyDescent="0.25">
      <c r="G39" s="6">
        <v>43616</v>
      </c>
      <c r="H39" s="7">
        <v>1317.15</v>
      </c>
      <c r="I39" s="182" t="s">
        <v>1044</v>
      </c>
      <c r="J39" s="183"/>
    </row>
    <row r="40" spans="1:12" ht="15.75" x14ac:dyDescent="0.25">
      <c r="G40" s="6">
        <v>43620</v>
      </c>
      <c r="H40" s="4">
        <v>350</v>
      </c>
      <c r="I40" s="182" t="s">
        <v>1046</v>
      </c>
      <c r="J40" s="183"/>
    </row>
    <row r="41" spans="1:12" ht="15.75" x14ac:dyDescent="0.25">
      <c r="G41" s="6"/>
      <c r="H41" s="4"/>
      <c r="I41" s="182"/>
      <c r="J41" s="183"/>
    </row>
    <row r="42" spans="1:12" ht="15.75" x14ac:dyDescent="0.25">
      <c r="G42" s="6"/>
      <c r="H42" s="4"/>
      <c r="I42" s="182"/>
      <c r="J42" s="183"/>
    </row>
    <row r="43" spans="1:12" ht="15.75" x14ac:dyDescent="0.25">
      <c r="G43" s="6"/>
      <c r="H43" s="4"/>
      <c r="I43" s="182"/>
      <c r="J43" s="183"/>
    </row>
    <row r="44" spans="1:12" ht="15.75" x14ac:dyDescent="0.25">
      <c r="G44" s="6"/>
      <c r="H44" s="4"/>
      <c r="I44" s="182"/>
      <c r="J44" s="183"/>
    </row>
    <row r="45" spans="1:12" ht="15.75" x14ac:dyDescent="0.25">
      <c r="G45" s="6"/>
      <c r="H45" s="35"/>
      <c r="I45" s="182"/>
      <c r="J45" s="183"/>
      <c r="K45" s="204" t="s">
        <v>1021</v>
      </c>
      <c r="L45" s="205"/>
    </row>
    <row r="46" spans="1:12" ht="15.75" x14ac:dyDescent="0.25">
      <c r="G46" s="6"/>
      <c r="H46" s="35"/>
      <c r="I46" s="182"/>
      <c r="J46" s="183"/>
    </row>
    <row r="47" spans="1:12" ht="15.75" x14ac:dyDescent="0.25">
      <c r="G47" s="6"/>
      <c r="H47" s="35"/>
      <c r="I47" s="182"/>
      <c r="J47" s="183"/>
    </row>
  </sheetData>
  <mergeCells count="69">
    <mergeCell ref="A1:B1"/>
    <mergeCell ref="D1:E1"/>
    <mergeCell ref="G1:L1"/>
    <mergeCell ref="A2:B2"/>
    <mergeCell ref="D2:E2"/>
    <mergeCell ref="I2:J2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2:J12"/>
    <mergeCell ref="I13:J13"/>
    <mergeCell ref="I25:J25"/>
    <mergeCell ref="I15:J15"/>
    <mergeCell ref="I16:J16"/>
    <mergeCell ref="A17:B17"/>
    <mergeCell ref="D18:E18"/>
    <mergeCell ref="I19:J19"/>
    <mergeCell ref="I20:J20"/>
    <mergeCell ref="I21:J21"/>
    <mergeCell ref="I22:J22"/>
    <mergeCell ref="I23:J23"/>
    <mergeCell ref="A24:B24"/>
    <mergeCell ref="I24:J24"/>
    <mergeCell ref="I17:J17"/>
    <mergeCell ref="I18:J18"/>
    <mergeCell ref="H26:L26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A32:B32"/>
    <mergeCell ref="C32:D32"/>
    <mergeCell ref="E32:F32"/>
    <mergeCell ref="A33:B33"/>
    <mergeCell ref="C33:D33"/>
    <mergeCell ref="E33:F33"/>
    <mergeCell ref="G33:J33"/>
    <mergeCell ref="K33:L33"/>
    <mergeCell ref="I34:J34"/>
    <mergeCell ref="K34:L34"/>
    <mergeCell ref="I35:J35"/>
    <mergeCell ref="I36:J36"/>
    <mergeCell ref="I37:J37"/>
    <mergeCell ref="K37:L37"/>
    <mergeCell ref="I47:J47"/>
    <mergeCell ref="I38:J38"/>
    <mergeCell ref="K38:L38"/>
    <mergeCell ref="I39:J39"/>
    <mergeCell ref="I40:J40"/>
    <mergeCell ref="I41:J41"/>
    <mergeCell ref="I42:J42"/>
    <mergeCell ref="I43:J43"/>
    <mergeCell ref="I44:J44"/>
    <mergeCell ref="I45:J45"/>
    <mergeCell ref="K45:L45"/>
    <mergeCell ref="I46:J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40"/>
  <dimension ref="A1:L55"/>
  <sheetViews>
    <sheetView topLeftCell="G4" workbookViewId="0">
      <selection activeCell="K4" sqref="K4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553</v>
      </c>
      <c r="B1" s="184"/>
      <c r="C1" s="10"/>
      <c r="D1" s="199" t="s">
        <v>55</v>
      </c>
      <c r="E1" s="200"/>
      <c r="G1" s="184" t="s">
        <v>1054</v>
      </c>
      <c r="H1" s="184"/>
      <c r="I1" s="184"/>
      <c r="J1" s="184"/>
      <c r="K1" s="184"/>
      <c r="L1" s="184"/>
    </row>
    <row r="2" spans="1:12" ht="18.75" x14ac:dyDescent="0.3">
      <c r="A2" s="184" t="s">
        <v>590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H26</f>
        <v>24517.5</v>
      </c>
      <c r="C3" s="11"/>
      <c r="D3" s="5"/>
      <c r="E3" s="4">
        <v>265</v>
      </c>
      <c r="F3" t="s">
        <v>1055</v>
      </c>
      <c r="G3" s="6">
        <v>43628</v>
      </c>
      <c r="H3" s="7">
        <v>1500</v>
      </c>
      <c r="I3" s="187" t="s">
        <v>46</v>
      </c>
      <c r="J3" s="188"/>
      <c r="K3" s="8" t="s">
        <v>1067</v>
      </c>
      <c r="L3" s="8" t="s">
        <v>268</v>
      </c>
    </row>
    <row r="4" spans="1:12" ht="15.75" x14ac:dyDescent="0.25">
      <c r="A4" s="2" t="s">
        <v>3</v>
      </c>
      <c r="B4" s="3"/>
      <c r="C4" s="11"/>
      <c r="D4" s="22">
        <v>43614</v>
      </c>
      <c r="E4" s="4">
        <v>104.98</v>
      </c>
      <c r="F4" t="s">
        <v>1058</v>
      </c>
      <c r="G4" s="6">
        <v>43628</v>
      </c>
      <c r="H4" s="7">
        <v>300</v>
      </c>
      <c r="I4" s="187" t="s">
        <v>1068</v>
      </c>
      <c r="J4" s="188"/>
      <c r="K4" s="8" t="s">
        <v>1069</v>
      </c>
      <c r="L4" s="8" t="s">
        <v>268</v>
      </c>
    </row>
    <row r="5" spans="1:12" ht="15.75" x14ac:dyDescent="0.25">
      <c r="A5" s="2" t="s">
        <v>4</v>
      </c>
      <c r="B5" s="3">
        <f>SUM(H35:H55)</f>
        <v>17781.27</v>
      </c>
      <c r="C5" s="11"/>
      <c r="D5" s="22">
        <v>43617</v>
      </c>
      <c r="E5" s="4">
        <v>59</v>
      </c>
      <c r="F5" t="s">
        <v>1059</v>
      </c>
      <c r="G5" s="6">
        <v>43630</v>
      </c>
      <c r="H5" s="7">
        <v>745</v>
      </c>
      <c r="I5" s="187" t="s">
        <v>719</v>
      </c>
      <c r="J5" s="188"/>
      <c r="K5" s="8" t="s">
        <v>987</v>
      </c>
      <c r="L5" s="8" t="s">
        <v>267</v>
      </c>
    </row>
    <row r="6" spans="1:12" ht="15.75" x14ac:dyDescent="0.25">
      <c r="A6" s="2"/>
      <c r="B6" s="3"/>
      <c r="C6" s="11"/>
      <c r="D6" s="22">
        <v>43512</v>
      </c>
      <c r="E6" s="4">
        <v>343.66</v>
      </c>
      <c r="F6" t="s">
        <v>1056</v>
      </c>
      <c r="G6" s="6">
        <v>43630</v>
      </c>
      <c r="H6" s="7">
        <v>750</v>
      </c>
      <c r="I6" s="187" t="s">
        <v>763</v>
      </c>
      <c r="J6" s="188"/>
      <c r="K6" s="8" t="s">
        <v>1035</v>
      </c>
      <c r="L6" s="8" t="s">
        <v>267</v>
      </c>
    </row>
    <row r="7" spans="1:12" ht="15.75" x14ac:dyDescent="0.25">
      <c r="A7" s="12" t="s">
        <v>5</v>
      </c>
      <c r="B7" s="25">
        <f>B3+B4-B5</f>
        <v>6736.23</v>
      </c>
      <c r="C7" s="11"/>
      <c r="D7" s="22">
        <v>43619</v>
      </c>
      <c r="E7" s="4">
        <v>91.28</v>
      </c>
      <c r="F7" t="s">
        <v>1062</v>
      </c>
      <c r="G7" s="6">
        <v>43630</v>
      </c>
      <c r="H7" s="7">
        <v>1000</v>
      </c>
      <c r="I7" s="187" t="s">
        <v>1073</v>
      </c>
      <c r="J7" s="188"/>
      <c r="K7" s="8" t="s">
        <v>1074</v>
      </c>
      <c r="L7" s="8" t="s">
        <v>268</v>
      </c>
    </row>
    <row r="8" spans="1:12" ht="15.75" x14ac:dyDescent="0.25">
      <c r="A8" s="2"/>
      <c r="B8" s="3"/>
      <c r="C8" s="11"/>
      <c r="D8" s="22">
        <v>43579</v>
      </c>
      <c r="E8" s="4">
        <v>59.94</v>
      </c>
      <c r="F8" t="s">
        <v>1057</v>
      </c>
      <c r="G8" s="6">
        <v>43633</v>
      </c>
      <c r="H8" s="7">
        <v>350</v>
      </c>
      <c r="I8" s="187" t="s">
        <v>1015</v>
      </c>
      <c r="J8" s="188"/>
      <c r="K8" s="8" t="s">
        <v>1077</v>
      </c>
      <c r="L8" s="8" t="s">
        <v>268</v>
      </c>
    </row>
    <row r="9" spans="1:12" ht="15.75" x14ac:dyDescent="0.25">
      <c r="A9" s="2"/>
      <c r="B9" s="3"/>
      <c r="C9" s="11"/>
      <c r="D9" s="5"/>
      <c r="E9" s="43">
        <v>1576.64</v>
      </c>
      <c r="F9" t="s">
        <v>1081</v>
      </c>
      <c r="G9" s="6">
        <v>43634</v>
      </c>
      <c r="H9" s="7">
        <v>400</v>
      </c>
      <c r="I9" s="187" t="s">
        <v>1092</v>
      </c>
      <c r="J9" s="188"/>
      <c r="K9" s="8" t="s">
        <v>488</v>
      </c>
      <c r="L9" s="8" t="s">
        <v>267</v>
      </c>
    </row>
    <row r="10" spans="1:12" ht="15.75" x14ac:dyDescent="0.25">
      <c r="A10" s="2"/>
      <c r="B10" s="3"/>
      <c r="C10" s="11"/>
      <c r="D10" s="5">
        <v>43626</v>
      </c>
      <c r="E10" s="4">
        <v>103.99</v>
      </c>
      <c r="F10" s="42" t="s">
        <v>1041</v>
      </c>
      <c r="G10" s="6">
        <v>43634</v>
      </c>
      <c r="H10" s="7">
        <v>50</v>
      </c>
      <c r="I10" s="187" t="s">
        <v>1079</v>
      </c>
      <c r="J10" s="188"/>
      <c r="K10" s="8" t="s">
        <v>1078</v>
      </c>
      <c r="L10" s="8" t="s">
        <v>268</v>
      </c>
    </row>
    <row r="11" spans="1:12" ht="15.75" x14ac:dyDescent="0.25">
      <c r="A11" s="2" t="s">
        <v>59</v>
      </c>
      <c r="B11" s="3">
        <f>(B7-B9)/2</f>
        <v>3368.1149999999998</v>
      </c>
      <c r="C11" s="11"/>
      <c r="D11" s="5">
        <v>43620</v>
      </c>
      <c r="E11" s="4">
        <v>238.75</v>
      </c>
      <c r="F11" t="s">
        <v>1063</v>
      </c>
      <c r="G11" s="6">
        <v>43635</v>
      </c>
      <c r="H11" s="7">
        <v>256.2</v>
      </c>
      <c r="I11" s="187" t="s">
        <v>46</v>
      </c>
      <c r="J11" s="188"/>
      <c r="K11" s="8" t="s">
        <v>1104</v>
      </c>
      <c r="L11" s="8" t="s">
        <v>268</v>
      </c>
    </row>
    <row r="12" spans="1:12" ht="15.75" x14ac:dyDescent="0.25">
      <c r="A12" s="2"/>
      <c r="B12" s="3"/>
      <c r="C12" s="11"/>
      <c r="D12" s="5">
        <v>43627</v>
      </c>
      <c r="E12" s="4">
        <v>71.86</v>
      </c>
      <c r="F12" t="s">
        <v>1065</v>
      </c>
      <c r="G12" s="6">
        <v>43635</v>
      </c>
      <c r="H12" s="7">
        <v>3000</v>
      </c>
      <c r="I12" s="187" t="s">
        <v>1080</v>
      </c>
      <c r="J12" s="188"/>
      <c r="K12" s="8" t="s">
        <v>2218</v>
      </c>
      <c r="L12" s="8" t="s">
        <v>268</v>
      </c>
    </row>
    <row r="13" spans="1:12" ht="15.75" x14ac:dyDescent="0.25">
      <c r="A13" s="2"/>
      <c r="B13" s="3"/>
      <c r="C13" s="11"/>
      <c r="D13" s="22">
        <v>43630</v>
      </c>
      <c r="E13" s="4">
        <v>70</v>
      </c>
      <c r="F13" t="s">
        <v>1076</v>
      </c>
      <c r="G13" s="6">
        <v>43641</v>
      </c>
      <c r="H13" s="7">
        <v>500</v>
      </c>
      <c r="I13" s="187" t="s">
        <v>1083</v>
      </c>
      <c r="J13" s="188"/>
      <c r="K13" s="8" t="s">
        <v>2230</v>
      </c>
      <c r="L13" s="8" t="s">
        <v>267</v>
      </c>
    </row>
    <row r="14" spans="1:12" ht="15.75" x14ac:dyDescent="0.25">
      <c r="A14" s="2"/>
      <c r="B14" s="3"/>
      <c r="C14" s="11"/>
      <c r="D14" s="22">
        <v>43637</v>
      </c>
      <c r="E14" s="4">
        <v>50</v>
      </c>
      <c r="G14" s="6">
        <v>43642</v>
      </c>
      <c r="H14" s="7">
        <v>2068.14</v>
      </c>
      <c r="I14" s="36" t="s">
        <v>1084</v>
      </c>
      <c r="J14" s="37"/>
      <c r="K14" s="8" t="s">
        <v>2218</v>
      </c>
      <c r="L14" s="8" t="s">
        <v>267</v>
      </c>
    </row>
    <row r="15" spans="1:12" ht="15.75" x14ac:dyDescent="0.25">
      <c r="A15" s="2"/>
      <c r="B15" s="3"/>
      <c r="C15" s="11"/>
      <c r="D15" s="22">
        <v>43651</v>
      </c>
      <c r="E15" s="4">
        <v>257.25</v>
      </c>
      <c r="F15" t="s">
        <v>1090</v>
      </c>
      <c r="G15" s="6">
        <v>43642</v>
      </c>
      <c r="H15" s="7">
        <v>3571.16</v>
      </c>
      <c r="I15" s="36" t="s">
        <v>1094</v>
      </c>
      <c r="J15" s="37"/>
      <c r="K15" s="8" t="s">
        <v>2218</v>
      </c>
      <c r="L15" s="8" t="s">
        <v>267</v>
      </c>
    </row>
    <row r="16" spans="1:12" ht="15.75" x14ac:dyDescent="0.25">
      <c r="A16" s="2"/>
      <c r="B16" s="2"/>
      <c r="C16" s="1"/>
      <c r="D16" s="22">
        <v>43654</v>
      </c>
      <c r="E16" s="4">
        <v>48.4</v>
      </c>
      <c r="F16" t="s">
        <v>158</v>
      </c>
      <c r="G16" s="6">
        <v>43642</v>
      </c>
      <c r="H16" s="7">
        <v>100</v>
      </c>
      <c r="I16" s="187" t="s">
        <v>240</v>
      </c>
      <c r="J16" s="188"/>
      <c r="K16" s="8"/>
      <c r="L16" s="8"/>
    </row>
    <row r="17" spans="1:12" ht="15.75" x14ac:dyDescent="0.25">
      <c r="A17" s="198" t="s">
        <v>56</v>
      </c>
      <c r="B17" s="198"/>
      <c r="C17" s="1"/>
      <c r="D17" s="22">
        <v>43655</v>
      </c>
      <c r="E17" s="4">
        <v>31.12</v>
      </c>
      <c r="F17" t="s">
        <v>272</v>
      </c>
      <c r="G17" s="6">
        <v>43644</v>
      </c>
      <c r="H17" s="7">
        <v>900</v>
      </c>
      <c r="I17" s="36" t="s">
        <v>1086</v>
      </c>
      <c r="J17" s="37"/>
      <c r="K17" s="8" t="s">
        <v>1050</v>
      </c>
      <c r="L17" s="8" t="s">
        <v>268</v>
      </c>
    </row>
    <row r="18" spans="1:12" ht="15.75" x14ac:dyDescent="0.25">
      <c r="A18" s="2"/>
      <c r="B18" s="3"/>
      <c r="C18" s="1"/>
      <c r="D18" s="47"/>
      <c r="E18" s="46"/>
      <c r="G18" s="6">
        <v>43647</v>
      </c>
      <c r="H18" s="7">
        <v>500</v>
      </c>
      <c r="I18" s="187" t="s">
        <v>165</v>
      </c>
      <c r="J18" s="188"/>
      <c r="K18" s="8" t="s">
        <v>2240</v>
      </c>
      <c r="L18" s="8" t="s">
        <v>267</v>
      </c>
    </row>
    <row r="19" spans="1:12" ht="15.75" x14ac:dyDescent="0.25">
      <c r="A19" s="2" t="s">
        <v>57</v>
      </c>
      <c r="B19" s="3">
        <f>B11-E25</f>
        <v>-3.7550000000001091</v>
      </c>
      <c r="C19" s="1"/>
      <c r="D19" s="5"/>
      <c r="E19" s="4"/>
      <c r="G19" s="6">
        <v>43648</v>
      </c>
      <c r="H19" s="7">
        <v>5000</v>
      </c>
      <c r="I19" s="187" t="s">
        <v>1088</v>
      </c>
      <c r="J19" s="188"/>
      <c r="K19" s="8" t="s">
        <v>1058</v>
      </c>
      <c r="L19" s="8" t="s">
        <v>267</v>
      </c>
    </row>
    <row r="20" spans="1:12" ht="15.75" x14ac:dyDescent="0.25">
      <c r="A20" s="2" t="s">
        <v>12</v>
      </c>
      <c r="B20" s="3">
        <f>B11</f>
        <v>3368.1149999999998</v>
      </c>
      <c r="C20" s="1"/>
      <c r="D20" s="5"/>
      <c r="E20" s="4"/>
      <c r="G20" s="6">
        <v>43649</v>
      </c>
      <c r="H20" s="7">
        <v>427</v>
      </c>
      <c r="I20" s="187" t="s">
        <v>240</v>
      </c>
      <c r="J20" s="188"/>
      <c r="K20" s="8"/>
      <c r="L20" s="8"/>
    </row>
    <row r="21" spans="1:12" ht="15.75" x14ac:dyDescent="0.25">
      <c r="A21" s="2"/>
      <c r="B21" s="2"/>
      <c r="C21" s="1"/>
      <c r="D21" s="5"/>
      <c r="E21" s="4"/>
      <c r="G21" s="6">
        <v>43650</v>
      </c>
      <c r="H21" s="7">
        <v>1000</v>
      </c>
      <c r="I21" s="36" t="s">
        <v>46</v>
      </c>
      <c r="J21" s="37"/>
      <c r="K21" s="8" t="s">
        <v>1033</v>
      </c>
      <c r="L21" s="8" t="s">
        <v>268</v>
      </c>
    </row>
    <row r="22" spans="1:12" ht="15.75" x14ac:dyDescent="0.25">
      <c r="A22" s="2"/>
      <c r="B22" s="2"/>
      <c r="C22" s="1"/>
      <c r="D22" s="22"/>
      <c r="E22" s="4"/>
      <c r="G22" s="6">
        <v>43654</v>
      </c>
      <c r="H22" s="7">
        <v>500</v>
      </c>
      <c r="I22" s="187" t="s">
        <v>1092</v>
      </c>
      <c r="J22" s="188"/>
      <c r="K22" s="8" t="s">
        <v>1029</v>
      </c>
      <c r="L22" s="8" t="s">
        <v>267</v>
      </c>
    </row>
    <row r="23" spans="1:12" ht="15.75" x14ac:dyDescent="0.25">
      <c r="A23" s="1"/>
      <c r="B23" s="1"/>
      <c r="C23" s="1"/>
      <c r="D23" s="22"/>
      <c r="E23" s="4"/>
      <c r="F23" s="1"/>
      <c r="G23" s="6">
        <v>43654</v>
      </c>
      <c r="H23" s="7">
        <v>350</v>
      </c>
      <c r="I23" s="187"/>
      <c r="J23" s="188"/>
      <c r="K23" s="8" t="s">
        <v>950</v>
      </c>
      <c r="L23" s="8" t="s">
        <v>267</v>
      </c>
    </row>
    <row r="24" spans="1:12" ht="15.75" x14ac:dyDescent="0.25">
      <c r="A24" s="196" t="s">
        <v>1071</v>
      </c>
      <c r="B24" s="196"/>
      <c r="C24" s="1"/>
      <c r="D24" s="22"/>
      <c r="E24" s="4"/>
      <c r="F24" s="1"/>
      <c r="G24" s="6">
        <v>43656</v>
      </c>
      <c r="H24" s="7">
        <v>500</v>
      </c>
      <c r="I24" s="187" t="s">
        <v>1110</v>
      </c>
      <c r="J24" s="188"/>
      <c r="K24" s="8" t="s">
        <v>488</v>
      </c>
      <c r="L24" s="8" t="s">
        <v>267</v>
      </c>
    </row>
    <row r="25" spans="1:12" ht="15.75" x14ac:dyDescent="0.25">
      <c r="A25" s="1"/>
      <c r="B25" s="1"/>
      <c r="C25" s="1"/>
      <c r="D25" s="12" t="s">
        <v>23</v>
      </c>
      <c r="E25" s="24">
        <f>SUM(E3:E24)</f>
        <v>3371.87</v>
      </c>
      <c r="F25" s="1"/>
      <c r="G25" s="6">
        <v>43656</v>
      </c>
      <c r="H25" s="7">
        <v>750</v>
      </c>
      <c r="I25" s="187" t="s">
        <v>1109</v>
      </c>
      <c r="J25" s="188"/>
      <c r="K25" s="8" t="s">
        <v>1035</v>
      </c>
      <c r="L25" s="8" t="s">
        <v>267</v>
      </c>
    </row>
    <row r="26" spans="1:12" ht="15.75" x14ac:dyDescent="0.25">
      <c r="A26" s="1"/>
      <c r="B26" s="1"/>
      <c r="C26" s="1"/>
      <c r="D26" s="17"/>
      <c r="E26" s="17"/>
      <c r="F26" s="1"/>
      <c r="G26" s="6" t="s">
        <v>23</v>
      </c>
      <c r="H26" s="193">
        <f>SUM(H3:H25)</f>
        <v>24517.5</v>
      </c>
      <c r="I26" s="194"/>
      <c r="J26" s="194"/>
      <c r="K26" s="194"/>
      <c r="L26" s="195"/>
    </row>
    <row r="27" spans="1:12" ht="18.75" x14ac:dyDescent="0.3">
      <c r="A27" s="17"/>
      <c r="B27" s="17"/>
      <c r="C27" s="17"/>
      <c r="D27" s="178"/>
      <c r="E27" s="178"/>
      <c r="F27" s="9"/>
      <c r="G27" s="1"/>
      <c r="H27" s="1"/>
      <c r="I27" s="1"/>
      <c r="J27" s="1"/>
      <c r="K27" s="196" t="s">
        <v>1071</v>
      </c>
      <c r="L27" s="196"/>
    </row>
    <row r="28" spans="1:12" x14ac:dyDescent="0.25">
      <c r="A28" s="209"/>
      <c r="B28" s="209"/>
      <c r="C28" s="209"/>
      <c r="D28" s="209"/>
      <c r="E28" s="209"/>
      <c r="F28" s="209"/>
      <c r="G28" s="180"/>
      <c r="H28" s="180"/>
      <c r="I28" s="180" t="s">
        <v>69</v>
      </c>
      <c r="J28" s="180"/>
      <c r="K28" s="180" t="s">
        <v>69</v>
      </c>
      <c r="L28" s="180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65</v>
      </c>
      <c r="J29" s="180"/>
      <c r="K29" s="180" t="s">
        <v>67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K30" s="180"/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"/>
      <c r="L31" s="18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ht="18.75" x14ac:dyDescent="0.3">
      <c r="A33" s="180"/>
      <c r="B33" s="180"/>
      <c r="C33" s="180"/>
      <c r="D33" s="180"/>
      <c r="E33" s="180"/>
      <c r="F33" s="180"/>
      <c r="G33" s="184" t="s">
        <v>25</v>
      </c>
      <c r="H33" s="184"/>
      <c r="I33" s="184"/>
      <c r="J33" s="184"/>
      <c r="K33" s="180"/>
      <c r="L33" s="180"/>
    </row>
    <row r="34" spans="1:12" ht="15.75" x14ac:dyDescent="0.25">
      <c r="G34" s="2" t="s">
        <v>1</v>
      </c>
      <c r="H34" s="2" t="s">
        <v>6</v>
      </c>
      <c r="I34" s="182" t="s">
        <v>13</v>
      </c>
      <c r="J34" s="183"/>
      <c r="K34" s="180"/>
      <c r="L34" s="180"/>
    </row>
    <row r="35" spans="1:12" ht="15.75" x14ac:dyDescent="0.25">
      <c r="G35" s="6">
        <v>43626</v>
      </c>
      <c r="H35" s="7">
        <v>600</v>
      </c>
      <c r="I35" s="182" t="s">
        <v>879</v>
      </c>
      <c r="J35" s="183"/>
      <c r="K35" s="18"/>
      <c r="L35" s="18"/>
    </row>
    <row r="36" spans="1:12" ht="15.75" x14ac:dyDescent="0.25">
      <c r="G36" s="6">
        <v>43636</v>
      </c>
      <c r="H36" s="7">
        <v>1800</v>
      </c>
      <c r="I36" s="182" t="s">
        <v>173</v>
      </c>
      <c r="J36" s="183"/>
      <c r="K36" s="18"/>
      <c r="L36" s="18"/>
    </row>
    <row r="37" spans="1:12" ht="15.75" x14ac:dyDescent="0.25">
      <c r="G37" s="6">
        <v>43595</v>
      </c>
      <c r="H37" s="7">
        <v>8.75</v>
      </c>
      <c r="I37" s="182" t="s">
        <v>1061</v>
      </c>
      <c r="J37" s="183"/>
      <c r="K37" s="180"/>
      <c r="L37" s="180"/>
    </row>
    <row r="38" spans="1:12" ht="15.75" x14ac:dyDescent="0.25">
      <c r="G38" s="6">
        <v>43627</v>
      </c>
      <c r="H38" s="7">
        <v>3500</v>
      </c>
      <c r="I38" s="182" t="s">
        <v>1064</v>
      </c>
      <c r="J38" s="183"/>
      <c r="K38" s="180"/>
      <c r="L38" s="180"/>
    </row>
    <row r="39" spans="1:12" ht="15.75" x14ac:dyDescent="0.25">
      <c r="G39" s="6">
        <v>43628</v>
      </c>
      <c r="H39" s="7">
        <v>157</v>
      </c>
      <c r="I39" s="182" t="s">
        <v>1066</v>
      </c>
      <c r="J39" s="183"/>
    </row>
    <row r="40" spans="1:12" ht="15.75" x14ac:dyDescent="0.25">
      <c r="G40" s="6">
        <v>43628</v>
      </c>
      <c r="H40" s="4">
        <v>200</v>
      </c>
      <c r="I40" s="182" t="s">
        <v>953</v>
      </c>
      <c r="J40" s="183"/>
    </row>
    <row r="41" spans="1:12" ht="15.75" x14ac:dyDescent="0.25">
      <c r="G41" s="6">
        <v>43624</v>
      </c>
      <c r="H41" s="4">
        <v>420.74</v>
      </c>
      <c r="I41" s="182" t="s">
        <v>1089</v>
      </c>
      <c r="J41" s="183"/>
    </row>
    <row r="42" spans="1:12" ht="15.75" x14ac:dyDescent="0.25">
      <c r="G42" s="6">
        <v>43630</v>
      </c>
      <c r="H42" s="4">
        <v>107.85</v>
      </c>
      <c r="I42" s="182" t="s">
        <v>1075</v>
      </c>
      <c r="J42" s="183"/>
    </row>
    <row r="43" spans="1:12" ht="15.75" x14ac:dyDescent="0.25">
      <c r="G43" s="6">
        <v>43634</v>
      </c>
      <c r="H43" s="4">
        <v>40</v>
      </c>
      <c r="I43" s="182" t="s">
        <v>1082</v>
      </c>
      <c r="J43" s="183"/>
    </row>
    <row r="44" spans="1:12" ht="15.75" x14ac:dyDescent="0.25">
      <c r="G44" s="6">
        <v>43637</v>
      </c>
      <c r="H44" s="4">
        <v>350</v>
      </c>
      <c r="I44" s="182" t="s">
        <v>953</v>
      </c>
      <c r="J44" s="183"/>
    </row>
    <row r="45" spans="1:12" ht="15.75" x14ac:dyDescent="0.25">
      <c r="G45" s="6">
        <v>43637</v>
      </c>
      <c r="H45" s="35">
        <v>413.7</v>
      </c>
      <c r="I45" s="182" t="s">
        <v>1105</v>
      </c>
      <c r="J45" s="183"/>
      <c r="K45" s="204" t="s">
        <v>1070</v>
      </c>
      <c r="L45" s="205"/>
    </row>
    <row r="46" spans="1:12" ht="15.75" x14ac:dyDescent="0.25">
      <c r="G46" s="6">
        <v>43642</v>
      </c>
      <c r="H46" s="35">
        <v>1072.5</v>
      </c>
      <c r="I46" s="182" t="s">
        <v>1085</v>
      </c>
      <c r="J46" s="183"/>
    </row>
    <row r="47" spans="1:12" ht="15.75" x14ac:dyDescent="0.25">
      <c r="G47" s="6">
        <v>43642</v>
      </c>
      <c r="H47" s="35">
        <v>115.58</v>
      </c>
      <c r="I47" s="182" t="s">
        <v>158</v>
      </c>
      <c r="J47" s="183"/>
    </row>
    <row r="48" spans="1:12" ht="15.75" x14ac:dyDescent="0.25">
      <c r="G48" s="6">
        <v>43650</v>
      </c>
      <c r="H48" s="35">
        <v>481</v>
      </c>
      <c r="I48" s="182" t="s">
        <v>1087</v>
      </c>
      <c r="J48" s="183"/>
    </row>
    <row r="49" spans="7:10" ht="15.75" x14ac:dyDescent="0.25">
      <c r="G49" s="6">
        <v>43647</v>
      </c>
      <c r="H49" s="4">
        <v>6000</v>
      </c>
      <c r="I49" s="182" t="s">
        <v>1095</v>
      </c>
      <c r="J49" s="183"/>
    </row>
    <row r="50" spans="7:10" ht="15.75" x14ac:dyDescent="0.25">
      <c r="G50" s="6">
        <v>43629</v>
      </c>
      <c r="H50" s="4">
        <v>620</v>
      </c>
      <c r="I50" s="182" t="s">
        <v>1107</v>
      </c>
      <c r="J50" s="183"/>
    </row>
    <row r="51" spans="7:10" ht="15.75" x14ac:dyDescent="0.25">
      <c r="G51" s="6">
        <v>43649</v>
      </c>
      <c r="H51" s="4">
        <v>394.15</v>
      </c>
      <c r="I51" s="182" t="s">
        <v>1108</v>
      </c>
      <c r="J51" s="183"/>
    </row>
    <row r="52" spans="7:10" ht="15.75" x14ac:dyDescent="0.25">
      <c r="G52" s="6">
        <v>43651</v>
      </c>
      <c r="H52" s="4">
        <v>150</v>
      </c>
      <c r="I52" s="182" t="s">
        <v>1091</v>
      </c>
      <c r="J52" s="183"/>
    </row>
    <row r="53" spans="7:10" ht="15.75" x14ac:dyDescent="0.25">
      <c r="G53" s="6">
        <v>43654</v>
      </c>
      <c r="H53" s="4">
        <v>150</v>
      </c>
      <c r="I53" s="182" t="s">
        <v>1093</v>
      </c>
      <c r="J53" s="183"/>
    </row>
    <row r="54" spans="7:10" ht="15.75" x14ac:dyDescent="0.25">
      <c r="G54" s="6">
        <v>43648</v>
      </c>
      <c r="H54" s="4">
        <v>1050</v>
      </c>
      <c r="I54" s="182" t="s">
        <v>1064</v>
      </c>
      <c r="J54" s="183"/>
    </row>
    <row r="55" spans="7:10" ht="15.75" x14ac:dyDescent="0.25">
      <c r="G55" s="6">
        <v>43649</v>
      </c>
      <c r="H55" s="4">
        <v>150</v>
      </c>
      <c r="I55" s="182" t="s">
        <v>1106</v>
      </c>
      <c r="J55" s="183"/>
    </row>
  </sheetData>
  <mergeCells count="72">
    <mergeCell ref="I13:J13"/>
    <mergeCell ref="I8:J8"/>
    <mergeCell ref="I9:J9"/>
    <mergeCell ref="I10:J10"/>
    <mergeCell ref="I11:J11"/>
    <mergeCell ref="I12:J12"/>
    <mergeCell ref="I3:J3"/>
    <mergeCell ref="I4:J4"/>
    <mergeCell ref="I5:J5"/>
    <mergeCell ref="I6:J6"/>
    <mergeCell ref="I7:J7"/>
    <mergeCell ref="A1:B1"/>
    <mergeCell ref="D1:E1"/>
    <mergeCell ref="G1:L1"/>
    <mergeCell ref="A2:B2"/>
    <mergeCell ref="D2:E2"/>
    <mergeCell ref="I2:J2"/>
    <mergeCell ref="A24:B24"/>
    <mergeCell ref="I24:J24"/>
    <mergeCell ref="I16:J16"/>
    <mergeCell ref="A17:B17"/>
    <mergeCell ref="I22:J22"/>
    <mergeCell ref="I23:J23"/>
    <mergeCell ref="I18:J18"/>
    <mergeCell ref="I19:J19"/>
    <mergeCell ref="D27:E27"/>
    <mergeCell ref="K27:L27"/>
    <mergeCell ref="A28:F30"/>
    <mergeCell ref="G28:H28"/>
    <mergeCell ref="I28:J28"/>
    <mergeCell ref="K28:L28"/>
    <mergeCell ref="G29:H29"/>
    <mergeCell ref="I29:J29"/>
    <mergeCell ref="K29:L29"/>
    <mergeCell ref="K30:L30"/>
    <mergeCell ref="K34:L34"/>
    <mergeCell ref="A33:B33"/>
    <mergeCell ref="C33:D33"/>
    <mergeCell ref="E33:F33"/>
    <mergeCell ref="G33:J33"/>
    <mergeCell ref="K33:L33"/>
    <mergeCell ref="A32:B32"/>
    <mergeCell ref="C32:D32"/>
    <mergeCell ref="E32:F32"/>
    <mergeCell ref="I34:J34"/>
    <mergeCell ref="I35:J35"/>
    <mergeCell ref="I44:J44"/>
    <mergeCell ref="I45:J45"/>
    <mergeCell ref="K45:L45"/>
    <mergeCell ref="I46:J46"/>
    <mergeCell ref="I37:J37"/>
    <mergeCell ref="I39:J39"/>
    <mergeCell ref="I40:J40"/>
    <mergeCell ref="I41:J41"/>
    <mergeCell ref="I42:J42"/>
    <mergeCell ref="I43:J43"/>
    <mergeCell ref="I54:J54"/>
    <mergeCell ref="I55:J55"/>
    <mergeCell ref="I20:J20"/>
    <mergeCell ref="I52:J52"/>
    <mergeCell ref="I53:J53"/>
    <mergeCell ref="I51:J51"/>
    <mergeCell ref="I49:J49"/>
    <mergeCell ref="I50:J50"/>
    <mergeCell ref="I48:J48"/>
    <mergeCell ref="I36:J36"/>
    <mergeCell ref="I25:J25"/>
    <mergeCell ref="H26:L26"/>
    <mergeCell ref="K37:L37"/>
    <mergeCell ref="I47:J47"/>
    <mergeCell ref="I38:J38"/>
    <mergeCell ref="K38:L3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41"/>
  <dimension ref="A1:L54"/>
  <sheetViews>
    <sheetView topLeftCell="G5" workbookViewId="0">
      <selection activeCell="K25" sqref="K25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627</v>
      </c>
      <c r="B1" s="184"/>
      <c r="C1" s="10"/>
      <c r="D1" s="199" t="s">
        <v>55</v>
      </c>
      <c r="E1" s="200"/>
      <c r="G1" s="184" t="s">
        <v>1096</v>
      </c>
      <c r="H1" s="184"/>
      <c r="I1" s="184"/>
      <c r="J1" s="184"/>
      <c r="K1" s="184"/>
      <c r="L1" s="184"/>
    </row>
    <row r="2" spans="1:12" ht="18.75" x14ac:dyDescent="0.3">
      <c r="A2" s="184" t="s">
        <v>589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H27</f>
        <v>29448.98</v>
      </c>
      <c r="C3" s="11"/>
      <c r="D3" s="5"/>
      <c r="E3" s="4">
        <v>265</v>
      </c>
      <c r="F3" t="s">
        <v>1098</v>
      </c>
      <c r="G3" s="6">
        <v>43655</v>
      </c>
      <c r="H3" s="7">
        <v>949.27</v>
      </c>
      <c r="I3" s="187" t="s">
        <v>733</v>
      </c>
      <c r="J3" s="188"/>
      <c r="K3" s="8" t="s">
        <v>854</v>
      </c>
      <c r="L3" s="8" t="s">
        <v>268</v>
      </c>
    </row>
    <row r="4" spans="1:12" ht="15.75" x14ac:dyDescent="0.25">
      <c r="A4" s="2" t="s">
        <v>3</v>
      </c>
      <c r="B4" s="3"/>
      <c r="C4" s="11"/>
      <c r="D4" s="22">
        <v>43512</v>
      </c>
      <c r="E4" s="4">
        <v>343.66</v>
      </c>
      <c r="F4" t="s">
        <v>1099</v>
      </c>
      <c r="G4" s="6">
        <v>43658</v>
      </c>
      <c r="H4" s="7">
        <v>2000</v>
      </c>
      <c r="I4" s="187" t="s">
        <v>763</v>
      </c>
      <c r="J4" s="188"/>
      <c r="K4" s="8" t="s">
        <v>2250</v>
      </c>
      <c r="L4" s="8" t="s">
        <v>267</v>
      </c>
    </row>
    <row r="5" spans="1:12" ht="15.75" x14ac:dyDescent="0.25">
      <c r="A5" s="2" t="s">
        <v>4</v>
      </c>
      <c r="B5" s="3">
        <f>SUM(H36:H54)</f>
        <v>9779.1400000000012</v>
      </c>
      <c r="C5" s="11"/>
      <c r="D5" s="22">
        <v>43579</v>
      </c>
      <c r="E5" s="4">
        <v>59.94</v>
      </c>
      <c r="F5" t="s">
        <v>1100</v>
      </c>
      <c r="G5" s="6">
        <v>43658</v>
      </c>
      <c r="H5" s="7">
        <v>1750</v>
      </c>
      <c r="I5" s="187" t="s">
        <v>290</v>
      </c>
      <c r="J5" s="188"/>
      <c r="K5" s="8" t="s">
        <v>1111</v>
      </c>
      <c r="L5" s="8" t="s">
        <v>268</v>
      </c>
    </row>
    <row r="6" spans="1:12" ht="15.75" x14ac:dyDescent="0.25">
      <c r="A6" s="2"/>
      <c r="B6" s="3"/>
      <c r="C6" s="11"/>
      <c r="D6" s="22"/>
      <c r="E6" s="43">
        <v>1576.64</v>
      </c>
      <c r="F6" t="s">
        <v>1101</v>
      </c>
      <c r="G6" s="6">
        <v>43658</v>
      </c>
      <c r="H6" s="7">
        <v>500</v>
      </c>
      <c r="I6" s="187" t="s">
        <v>1112</v>
      </c>
      <c r="J6" s="188"/>
      <c r="K6" s="8" t="s">
        <v>2277</v>
      </c>
      <c r="L6" s="8" t="s">
        <v>267</v>
      </c>
    </row>
    <row r="7" spans="1:12" ht="15.75" x14ac:dyDescent="0.25">
      <c r="A7" s="12" t="s">
        <v>5</v>
      </c>
      <c r="B7" s="25">
        <f>B3+B4-B5</f>
        <v>19669.839999999997</v>
      </c>
      <c r="C7" s="11"/>
      <c r="D7" s="5">
        <v>43620</v>
      </c>
      <c r="E7" s="4">
        <v>238.75</v>
      </c>
      <c r="F7" t="s">
        <v>1102</v>
      </c>
      <c r="G7" s="6">
        <v>43661</v>
      </c>
      <c r="H7" s="7">
        <v>1500</v>
      </c>
      <c r="I7" s="187" t="s">
        <v>46</v>
      </c>
      <c r="J7" s="188"/>
      <c r="K7" s="8" t="s">
        <v>864</v>
      </c>
      <c r="L7" s="8" t="s">
        <v>268</v>
      </c>
    </row>
    <row r="8" spans="1:12" ht="15.75" x14ac:dyDescent="0.25">
      <c r="A8" s="2"/>
      <c r="B8" s="3"/>
      <c r="C8" s="11"/>
      <c r="D8" s="5">
        <v>43669</v>
      </c>
      <c r="E8" s="4">
        <v>200</v>
      </c>
      <c r="F8" s="42" t="s">
        <v>1115</v>
      </c>
      <c r="G8" s="6">
        <v>43662</v>
      </c>
      <c r="H8" s="7">
        <v>640</v>
      </c>
      <c r="I8" s="187" t="s">
        <v>719</v>
      </c>
      <c r="J8" s="188"/>
      <c r="K8" s="8" t="s">
        <v>987</v>
      </c>
      <c r="L8" s="8" t="s">
        <v>267</v>
      </c>
    </row>
    <row r="9" spans="1:12" ht="15.75" x14ac:dyDescent="0.25">
      <c r="A9" s="2"/>
      <c r="B9" s="3"/>
      <c r="C9" s="11"/>
      <c r="D9" s="5">
        <v>43670</v>
      </c>
      <c r="E9" s="4">
        <v>885.43</v>
      </c>
      <c r="F9" t="s">
        <v>1120</v>
      </c>
      <c r="G9" s="6">
        <v>43664</v>
      </c>
      <c r="H9" s="7">
        <v>481.05</v>
      </c>
      <c r="I9" s="187" t="s">
        <v>1113</v>
      </c>
      <c r="J9" s="188"/>
      <c r="K9" s="8" t="s">
        <v>2276</v>
      </c>
      <c r="L9" s="8" t="s">
        <v>267</v>
      </c>
    </row>
    <row r="10" spans="1:12" ht="15.75" x14ac:dyDescent="0.25">
      <c r="A10" s="2"/>
      <c r="B10" s="3"/>
      <c r="C10" s="11"/>
      <c r="D10" s="5">
        <v>43670</v>
      </c>
      <c r="E10" s="4">
        <v>104.95</v>
      </c>
      <c r="F10" t="s">
        <v>1041</v>
      </c>
      <c r="G10" s="6">
        <v>43670</v>
      </c>
      <c r="H10" s="7">
        <v>961</v>
      </c>
      <c r="I10" s="187" t="s">
        <v>46</v>
      </c>
      <c r="J10" s="188"/>
      <c r="K10" s="8" t="s">
        <v>1116</v>
      </c>
      <c r="L10" s="8" t="s">
        <v>268</v>
      </c>
    </row>
    <row r="11" spans="1:12" ht="15.75" x14ac:dyDescent="0.25">
      <c r="A11" s="2" t="s">
        <v>59</v>
      </c>
      <c r="B11" s="3">
        <f>(B7-B9)/2</f>
        <v>9834.9199999999983</v>
      </c>
      <c r="C11" s="11"/>
      <c r="D11" s="22">
        <v>43678</v>
      </c>
      <c r="E11" s="4">
        <v>500</v>
      </c>
      <c r="F11" t="s">
        <v>1126</v>
      </c>
      <c r="G11" s="6">
        <v>43670</v>
      </c>
      <c r="H11" s="7">
        <v>530</v>
      </c>
      <c r="I11" s="187" t="s">
        <v>1121</v>
      </c>
      <c r="J11" s="188"/>
      <c r="K11" s="8" t="s">
        <v>1122</v>
      </c>
      <c r="L11" s="8"/>
    </row>
    <row r="12" spans="1:12" ht="15.75" x14ac:dyDescent="0.25">
      <c r="A12" s="2"/>
      <c r="B12" s="3"/>
      <c r="C12" s="11"/>
      <c r="D12" s="22">
        <v>43679</v>
      </c>
      <c r="E12" s="4">
        <v>350</v>
      </c>
      <c r="F12" t="s">
        <v>1129</v>
      </c>
      <c r="G12" s="6">
        <v>43672</v>
      </c>
      <c r="H12" s="7">
        <v>5000</v>
      </c>
      <c r="I12" s="187" t="s">
        <v>1127</v>
      </c>
      <c r="J12" s="188"/>
      <c r="K12" s="8" t="s">
        <v>1058</v>
      </c>
      <c r="L12" s="8" t="s">
        <v>267</v>
      </c>
    </row>
    <row r="13" spans="1:12" ht="15.75" x14ac:dyDescent="0.25">
      <c r="A13" s="2"/>
      <c r="B13" s="3"/>
      <c r="C13" s="11"/>
      <c r="D13" s="22"/>
      <c r="E13" s="4"/>
      <c r="G13" s="6">
        <v>43678</v>
      </c>
      <c r="H13" s="7">
        <v>500</v>
      </c>
      <c r="I13" s="187" t="s">
        <v>165</v>
      </c>
      <c r="J13" s="188"/>
      <c r="K13" s="8" t="s">
        <v>2240</v>
      </c>
      <c r="L13" s="8" t="s">
        <v>267</v>
      </c>
    </row>
    <row r="14" spans="1:12" ht="15.75" x14ac:dyDescent="0.25">
      <c r="A14" s="2"/>
      <c r="B14" s="3"/>
      <c r="C14" s="11"/>
      <c r="D14" s="22"/>
      <c r="E14" s="4"/>
      <c r="G14" s="6">
        <v>43678</v>
      </c>
      <c r="H14" s="7">
        <v>500</v>
      </c>
      <c r="I14" s="187" t="s">
        <v>568</v>
      </c>
      <c r="J14" s="188"/>
      <c r="K14" s="8" t="s">
        <v>1123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43679</v>
      </c>
      <c r="H15" s="7">
        <v>100</v>
      </c>
      <c r="I15" s="187" t="s">
        <v>1124</v>
      </c>
      <c r="J15" s="188"/>
      <c r="K15" s="8" t="s">
        <v>1125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43679</v>
      </c>
      <c r="H16" s="7">
        <v>1000</v>
      </c>
      <c r="I16" s="187" t="s">
        <v>868</v>
      </c>
      <c r="J16" s="188"/>
      <c r="K16" s="8" t="s">
        <v>834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44"/>
      <c r="E17" s="21"/>
      <c r="G17" s="6">
        <v>43682</v>
      </c>
      <c r="H17" s="7">
        <v>450</v>
      </c>
      <c r="I17" s="187" t="s">
        <v>1130</v>
      </c>
      <c r="J17" s="188"/>
      <c r="K17" s="8" t="s">
        <v>1131</v>
      </c>
      <c r="L17" s="8" t="s">
        <v>268</v>
      </c>
    </row>
    <row r="18" spans="1:12" ht="15.75" x14ac:dyDescent="0.25">
      <c r="A18" s="2"/>
      <c r="B18" s="3"/>
      <c r="C18" s="1"/>
      <c r="D18" s="12"/>
      <c r="E18" s="12"/>
      <c r="G18" s="6">
        <v>43683</v>
      </c>
      <c r="H18" s="7">
        <v>500</v>
      </c>
      <c r="I18" s="187" t="s">
        <v>1092</v>
      </c>
      <c r="J18" s="188"/>
      <c r="K18" s="8" t="s">
        <v>2275</v>
      </c>
      <c r="L18" s="8" t="s">
        <v>267</v>
      </c>
    </row>
    <row r="19" spans="1:12" ht="15.75" x14ac:dyDescent="0.25">
      <c r="A19" s="2" t="s">
        <v>57</v>
      </c>
      <c r="B19" s="3">
        <f>B11-E25</f>
        <v>5310.5499999999984</v>
      </c>
      <c r="C19" s="1"/>
      <c r="D19" s="2"/>
      <c r="E19" s="2"/>
      <c r="G19" s="6">
        <v>43683</v>
      </c>
      <c r="H19" s="7">
        <v>500</v>
      </c>
      <c r="I19" s="187" t="s">
        <v>46</v>
      </c>
      <c r="J19" s="188"/>
      <c r="K19" s="8" t="s">
        <v>1051</v>
      </c>
      <c r="L19" s="8" t="s">
        <v>268</v>
      </c>
    </row>
    <row r="20" spans="1:12" ht="15.75" x14ac:dyDescent="0.25">
      <c r="A20" s="2" t="s">
        <v>12</v>
      </c>
      <c r="B20" s="3">
        <f>B11</f>
        <v>9834.9199999999983</v>
      </c>
      <c r="C20" s="1"/>
      <c r="D20" s="5"/>
      <c r="E20" s="21"/>
      <c r="G20" s="6">
        <v>43683</v>
      </c>
      <c r="H20" s="7">
        <v>3176</v>
      </c>
      <c r="I20" s="187" t="s">
        <v>868</v>
      </c>
      <c r="J20" s="188"/>
      <c r="K20" s="8" t="s">
        <v>1132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43682</v>
      </c>
      <c r="H21" s="7">
        <v>100</v>
      </c>
      <c r="I21" s="187" t="s">
        <v>46</v>
      </c>
      <c r="J21" s="188"/>
      <c r="K21" s="8" t="s">
        <v>1033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43684</v>
      </c>
      <c r="H22" s="7">
        <v>750</v>
      </c>
      <c r="I22" s="187" t="s">
        <v>763</v>
      </c>
      <c r="J22" s="188"/>
      <c r="K22" s="8" t="s">
        <v>1035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43685</v>
      </c>
      <c r="H23" s="7">
        <v>3197</v>
      </c>
      <c r="I23" s="187" t="s">
        <v>868</v>
      </c>
      <c r="J23" s="188"/>
      <c r="K23" s="8" t="s">
        <v>937</v>
      </c>
      <c r="L23" s="8" t="s">
        <v>268</v>
      </c>
    </row>
    <row r="24" spans="1:12" ht="15.75" x14ac:dyDescent="0.25">
      <c r="A24" s="196"/>
      <c r="B24" s="196"/>
      <c r="C24" s="1"/>
      <c r="D24" s="22"/>
      <c r="E24" s="21"/>
      <c r="F24" s="1"/>
      <c r="G24" s="6">
        <v>43685</v>
      </c>
      <c r="H24" s="7">
        <v>3514.66</v>
      </c>
      <c r="I24" s="187" t="s">
        <v>733</v>
      </c>
      <c r="J24" s="188"/>
      <c r="K24" s="8" t="s">
        <v>1133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SUM(E3:E24)</f>
        <v>4524.37</v>
      </c>
      <c r="F25" s="1"/>
      <c r="G25" s="6">
        <v>43685</v>
      </c>
      <c r="H25" s="7">
        <v>500</v>
      </c>
      <c r="I25" s="187" t="s">
        <v>1134</v>
      </c>
      <c r="J25" s="188"/>
      <c r="K25" s="8" t="s">
        <v>1135</v>
      </c>
      <c r="L25" s="8" t="s">
        <v>268</v>
      </c>
    </row>
    <row r="26" spans="1:12" ht="15.75" x14ac:dyDescent="0.25">
      <c r="A26" s="1"/>
      <c r="B26" s="1"/>
      <c r="C26" s="1"/>
      <c r="D26" s="17"/>
      <c r="E26" s="17"/>
      <c r="F26" s="1"/>
      <c r="G26" s="6">
        <v>43686</v>
      </c>
      <c r="H26" s="7">
        <v>350</v>
      </c>
      <c r="I26" s="187" t="s">
        <v>763</v>
      </c>
      <c r="J26" s="188"/>
      <c r="K26" s="8" t="s">
        <v>950</v>
      </c>
      <c r="L26" s="8" t="s">
        <v>267</v>
      </c>
    </row>
    <row r="27" spans="1:12" ht="18.75" x14ac:dyDescent="0.3">
      <c r="A27" s="17"/>
      <c r="B27" s="17"/>
      <c r="C27" s="17"/>
      <c r="D27" s="178"/>
      <c r="E27" s="178"/>
      <c r="F27" s="9"/>
      <c r="G27" s="6" t="s">
        <v>23</v>
      </c>
      <c r="H27" s="193">
        <f>SUM(H3:H26)</f>
        <v>29448.98</v>
      </c>
      <c r="I27" s="194"/>
      <c r="J27" s="194"/>
      <c r="K27" s="194"/>
      <c r="L27" s="195"/>
    </row>
    <row r="28" spans="1:12" ht="15.75" x14ac:dyDescent="0.25">
      <c r="A28" s="209"/>
      <c r="B28" s="209"/>
      <c r="C28" s="209"/>
      <c r="D28" s="209"/>
      <c r="E28" s="209"/>
      <c r="F28" s="209"/>
      <c r="G28" s="1"/>
      <c r="H28" s="1"/>
      <c r="I28" s="1"/>
      <c r="J28" s="1"/>
      <c r="K28" s="196"/>
      <c r="L28" s="196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69</v>
      </c>
      <c r="J29" s="180"/>
      <c r="K29" s="180" t="s">
        <v>69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G30" s="180"/>
      <c r="H30" s="180"/>
      <c r="I30" s="180" t="s">
        <v>65</v>
      </c>
      <c r="J30" s="180"/>
      <c r="K30" s="180" t="s">
        <v>67</v>
      </c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0"/>
      <c r="L31" s="180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x14ac:dyDescent="0.25">
      <c r="A33" s="180"/>
      <c r="B33" s="180"/>
      <c r="C33" s="180"/>
      <c r="D33" s="180"/>
      <c r="E33" s="180"/>
      <c r="F33" s="180"/>
      <c r="K33" s="18"/>
      <c r="L33" s="18"/>
    </row>
    <row r="34" spans="1:12" ht="18.75" x14ac:dyDescent="0.3">
      <c r="G34" s="184" t="s">
        <v>1097</v>
      </c>
      <c r="H34" s="184"/>
      <c r="I34" s="184"/>
      <c r="J34" s="184"/>
      <c r="K34" s="180"/>
      <c r="L34" s="180"/>
    </row>
    <row r="35" spans="1:12" ht="15.75" x14ac:dyDescent="0.25">
      <c r="G35" s="2" t="s">
        <v>1</v>
      </c>
      <c r="H35" s="2" t="s">
        <v>6</v>
      </c>
      <c r="I35" s="182" t="s">
        <v>13</v>
      </c>
      <c r="J35" s="183"/>
      <c r="K35" s="180"/>
      <c r="L35" s="180"/>
    </row>
    <row r="36" spans="1:12" ht="15.75" x14ac:dyDescent="0.25">
      <c r="G36" s="6">
        <v>43655</v>
      </c>
      <c r="H36" s="7">
        <v>600</v>
      </c>
      <c r="I36" s="182" t="s">
        <v>879</v>
      </c>
      <c r="J36" s="183"/>
      <c r="K36" s="18"/>
      <c r="L36" s="18"/>
    </row>
    <row r="37" spans="1:12" ht="15.75" x14ac:dyDescent="0.25">
      <c r="G37" s="6">
        <v>43655</v>
      </c>
      <c r="H37" s="7">
        <v>112.8</v>
      </c>
      <c r="I37" s="182" t="s">
        <v>1119</v>
      </c>
      <c r="J37" s="183"/>
      <c r="K37" s="18"/>
      <c r="L37" s="18"/>
    </row>
    <row r="38" spans="1:12" ht="15.75" x14ac:dyDescent="0.25">
      <c r="G38" s="6">
        <v>43666</v>
      </c>
      <c r="H38" s="7">
        <v>1800</v>
      </c>
      <c r="I38" s="182" t="s">
        <v>173</v>
      </c>
      <c r="J38" s="183"/>
      <c r="K38" s="180"/>
      <c r="L38" s="180"/>
    </row>
    <row r="39" spans="1:12" ht="15.75" x14ac:dyDescent="0.25">
      <c r="G39" s="6">
        <v>43624</v>
      </c>
      <c r="H39" s="4">
        <v>420.74</v>
      </c>
      <c r="I39" s="182" t="s">
        <v>1103</v>
      </c>
      <c r="J39" s="183"/>
      <c r="K39" s="180"/>
      <c r="L39" s="180"/>
    </row>
    <row r="40" spans="1:12" ht="15.75" x14ac:dyDescent="0.25">
      <c r="G40" s="6">
        <v>43656</v>
      </c>
      <c r="H40" s="7">
        <v>107.9</v>
      </c>
      <c r="I40" s="182" t="s">
        <v>262</v>
      </c>
      <c r="J40" s="183"/>
    </row>
    <row r="41" spans="1:12" ht="15.75" x14ac:dyDescent="0.25">
      <c r="G41" s="6">
        <v>43665</v>
      </c>
      <c r="H41" s="7">
        <v>111.43</v>
      </c>
      <c r="I41" s="182" t="s">
        <v>1114</v>
      </c>
      <c r="J41" s="183"/>
    </row>
    <row r="42" spans="1:12" ht="15.75" x14ac:dyDescent="0.25">
      <c r="G42" s="6">
        <v>43669</v>
      </c>
      <c r="H42" s="4">
        <v>160</v>
      </c>
      <c r="I42" s="182" t="s">
        <v>1117</v>
      </c>
      <c r="J42" s="183"/>
    </row>
    <row r="43" spans="1:12" ht="15.75" x14ac:dyDescent="0.25">
      <c r="G43" s="6">
        <v>43669</v>
      </c>
      <c r="H43" s="4">
        <v>74.33</v>
      </c>
      <c r="I43" s="182" t="s">
        <v>1118</v>
      </c>
      <c r="J43" s="183"/>
    </row>
    <row r="44" spans="1:12" ht="15.75" x14ac:dyDescent="0.25">
      <c r="G44" s="6">
        <v>43678</v>
      </c>
      <c r="H44" s="4">
        <v>6000</v>
      </c>
      <c r="I44" s="182" t="s">
        <v>1128</v>
      </c>
      <c r="J44" s="183"/>
    </row>
    <row r="45" spans="1:12" ht="15.75" x14ac:dyDescent="0.25">
      <c r="G45" s="6">
        <v>43683</v>
      </c>
      <c r="H45" s="4">
        <v>97.19</v>
      </c>
      <c r="I45" s="182" t="s">
        <v>262</v>
      </c>
      <c r="J45" s="183"/>
    </row>
    <row r="46" spans="1:12" ht="15.75" x14ac:dyDescent="0.25">
      <c r="G46" s="6"/>
      <c r="H46" s="35">
        <v>294.75</v>
      </c>
      <c r="I46" s="182" t="s">
        <v>1136</v>
      </c>
      <c r="J46" s="183"/>
      <c r="K46" s="204"/>
      <c r="L46" s="205"/>
    </row>
    <row r="47" spans="1:12" ht="15.75" x14ac:dyDescent="0.25">
      <c r="G47" s="6"/>
      <c r="H47" s="35"/>
      <c r="I47" s="182"/>
      <c r="J47" s="183"/>
    </row>
    <row r="48" spans="1:12" ht="15.75" x14ac:dyDescent="0.25">
      <c r="G48" s="6"/>
      <c r="H48" s="35"/>
      <c r="I48" s="208"/>
      <c r="J48" s="208"/>
    </row>
    <row r="49" spans="7:10" ht="15.75" x14ac:dyDescent="0.25">
      <c r="G49" s="6"/>
      <c r="H49" s="4"/>
      <c r="I49" s="208"/>
      <c r="J49" s="208"/>
    </row>
    <row r="50" spans="7:10" ht="15.75" x14ac:dyDescent="0.25">
      <c r="G50" s="6"/>
      <c r="H50" s="4"/>
      <c r="I50" s="182"/>
      <c r="J50" s="183"/>
    </row>
    <row r="51" spans="7:10" ht="15.75" x14ac:dyDescent="0.25">
      <c r="G51" s="6"/>
      <c r="H51" s="4"/>
      <c r="I51" s="208"/>
      <c r="J51" s="208"/>
    </row>
    <row r="52" spans="7:10" ht="15.75" x14ac:dyDescent="0.25">
      <c r="G52" s="6"/>
      <c r="H52" s="4"/>
      <c r="I52" s="208"/>
      <c r="J52" s="208"/>
    </row>
    <row r="53" spans="7:10" ht="15.75" x14ac:dyDescent="0.25">
      <c r="G53" s="6"/>
      <c r="H53" s="4"/>
      <c r="I53" s="182"/>
      <c r="J53" s="183"/>
    </row>
    <row r="54" spans="7:10" ht="15.75" x14ac:dyDescent="0.25">
      <c r="G54" s="6"/>
      <c r="H54" s="4"/>
      <c r="I54" s="182"/>
      <c r="J54" s="183"/>
    </row>
  </sheetData>
  <mergeCells count="75">
    <mergeCell ref="I15:J15"/>
    <mergeCell ref="I14:J14"/>
    <mergeCell ref="A1:B1"/>
    <mergeCell ref="D1:E1"/>
    <mergeCell ref="G1:L1"/>
    <mergeCell ref="A2:B2"/>
    <mergeCell ref="D2:E2"/>
    <mergeCell ref="I2:J2"/>
    <mergeCell ref="I3:J3"/>
    <mergeCell ref="I4:J4"/>
    <mergeCell ref="I12:J12"/>
    <mergeCell ref="I13:J13"/>
    <mergeCell ref="I6:J6"/>
    <mergeCell ref="I7:J7"/>
    <mergeCell ref="I8:J8"/>
    <mergeCell ref="I9:J9"/>
    <mergeCell ref="I10:J10"/>
    <mergeCell ref="I11:J11"/>
    <mergeCell ref="D27:E27"/>
    <mergeCell ref="A28:F30"/>
    <mergeCell ref="G29:H29"/>
    <mergeCell ref="I29:J29"/>
    <mergeCell ref="A17:B17"/>
    <mergeCell ref="I17:J17"/>
    <mergeCell ref="I18:J18"/>
    <mergeCell ref="I19:J19"/>
    <mergeCell ref="I21:J21"/>
    <mergeCell ref="I22:J22"/>
    <mergeCell ref="I23:J23"/>
    <mergeCell ref="A24:B24"/>
    <mergeCell ref="I24:J24"/>
    <mergeCell ref="I30:J30"/>
    <mergeCell ref="K30:L30"/>
    <mergeCell ref="K31:L31"/>
    <mergeCell ref="A32:B32"/>
    <mergeCell ref="C32:D32"/>
    <mergeCell ref="E32:F32"/>
    <mergeCell ref="I43:J43"/>
    <mergeCell ref="I35:J35"/>
    <mergeCell ref="I39:J39"/>
    <mergeCell ref="A33:B33"/>
    <mergeCell ref="C33:D33"/>
    <mergeCell ref="E33:F33"/>
    <mergeCell ref="G34:J34"/>
    <mergeCell ref="I40:J40"/>
    <mergeCell ref="I41:J41"/>
    <mergeCell ref="I42:J42"/>
    <mergeCell ref="I54:J54"/>
    <mergeCell ref="I44:J44"/>
    <mergeCell ref="I45:J45"/>
    <mergeCell ref="I46:J46"/>
    <mergeCell ref="K46:L46"/>
    <mergeCell ref="I47:J47"/>
    <mergeCell ref="I48:J48"/>
    <mergeCell ref="I49:J49"/>
    <mergeCell ref="I50:J50"/>
    <mergeCell ref="I51:J51"/>
    <mergeCell ref="I52:J52"/>
    <mergeCell ref="I53:J53"/>
    <mergeCell ref="I5:J5"/>
    <mergeCell ref="I20:J20"/>
    <mergeCell ref="K39:L39"/>
    <mergeCell ref="K34:L34"/>
    <mergeCell ref="I26:J26"/>
    <mergeCell ref="H27:L27"/>
    <mergeCell ref="K28:L28"/>
    <mergeCell ref="I16:J16"/>
    <mergeCell ref="I25:J25"/>
    <mergeCell ref="K35:L35"/>
    <mergeCell ref="I36:J36"/>
    <mergeCell ref="I37:J37"/>
    <mergeCell ref="I38:J38"/>
    <mergeCell ref="K38:L38"/>
    <mergeCell ref="K29:L29"/>
    <mergeCell ref="G30:H30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42"/>
  <dimension ref="A1:L54"/>
  <sheetViews>
    <sheetView topLeftCell="E3" workbookViewId="0">
      <selection activeCell="K21" sqref="K21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628</v>
      </c>
      <c r="B1" s="184"/>
      <c r="C1" s="10"/>
      <c r="D1" s="199" t="s">
        <v>55</v>
      </c>
      <c r="E1" s="200"/>
      <c r="G1" s="184" t="s">
        <v>1162</v>
      </c>
      <c r="H1" s="184"/>
      <c r="I1" s="184"/>
      <c r="J1" s="184"/>
      <c r="K1" s="184"/>
      <c r="L1" s="184"/>
    </row>
    <row r="2" spans="1:12" ht="18.75" x14ac:dyDescent="0.3">
      <c r="A2" s="184" t="s">
        <v>629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H27</f>
        <v>24764.230000000003</v>
      </c>
      <c r="C3" s="11"/>
      <c r="D3" s="5"/>
      <c r="E3" s="4">
        <v>265</v>
      </c>
      <c r="F3" t="s">
        <v>1137</v>
      </c>
      <c r="G3" s="6">
        <v>43689</v>
      </c>
      <c r="H3" s="7">
        <v>500</v>
      </c>
      <c r="I3" s="187" t="s">
        <v>1140</v>
      </c>
      <c r="J3" s="188"/>
      <c r="K3" s="8" t="s">
        <v>1029</v>
      </c>
      <c r="L3" s="8" t="s">
        <v>267</v>
      </c>
    </row>
    <row r="4" spans="1:12" ht="15.75" x14ac:dyDescent="0.25">
      <c r="A4" s="2" t="s">
        <v>3</v>
      </c>
      <c r="B4" s="3"/>
      <c r="C4" s="11"/>
      <c r="D4" s="22">
        <v>43512</v>
      </c>
      <c r="E4" s="4">
        <v>343.66</v>
      </c>
      <c r="F4" t="s">
        <v>1138</v>
      </c>
      <c r="G4" s="6">
        <v>43689</v>
      </c>
      <c r="H4" s="7">
        <v>2000</v>
      </c>
      <c r="I4" s="187" t="s">
        <v>46</v>
      </c>
      <c r="J4" s="188"/>
      <c r="K4" s="8" t="s">
        <v>1145</v>
      </c>
      <c r="L4" s="8" t="s">
        <v>268</v>
      </c>
    </row>
    <row r="5" spans="1:12" ht="15.75" x14ac:dyDescent="0.25">
      <c r="A5" s="2" t="s">
        <v>4</v>
      </c>
      <c r="B5" s="3">
        <f>SUM(H36:H54)</f>
        <v>10226.82</v>
      </c>
      <c r="C5" s="11"/>
      <c r="D5" s="5">
        <v>43620</v>
      </c>
      <c r="E5" s="4">
        <v>238.75</v>
      </c>
      <c r="F5" t="s">
        <v>1139</v>
      </c>
      <c r="G5" s="6">
        <v>43689</v>
      </c>
      <c r="H5" s="7">
        <v>1500</v>
      </c>
      <c r="I5" s="187" t="s">
        <v>46</v>
      </c>
      <c r="J5" s="188"/>
      <c r="K5" s="8" t="s">
        <v>1144</v>
      </c>
      <c r="L5" s="8" t="s">
        <v>268</v>
      </c>
    </row>
    <row r="6" spans="1:12" ht="15.75" x14ac:dyDescent="0.25">
      <c r="A6" s="2"/>
      <c r="B6" s="3"/>
      <c r="C6" s="11"/>
      <c r="D6" s="22">
        <v>43697</v>
      </c>
      <c r="E6" s="43">
        <v>48.77</v>
      </c>
      <c r="F6" t="s">
        <v>888</v>
      </c>
      <c r="G6" s="6">
        <v>43691</v>
      </c>
      <c r="H6" s="7">
        <v>1500</v>
      </c>
      <c r="I6" s="187" t="s">
        <v>1146</v>
      </c>
      <c r="J6" s="188"/>
      <c r="K6" s="8" t="s">
        <v>1147</v>
      </c>
      <c r="L6" s="8" t="s">
        <v>267</v>
      </c>
    </row>
    <row r="7" spans="1:12" ht="15.75" x14ac:dyDescent="0.25">
      <c r="A7" s="12" t="s">
        <v>5</v>
      </c>
      <c r="B7" s="25">
        <f>B3+B4-B5</f>
        <v>14537.410000000003</v>
      </c>
      <c r="C7" s="11"/>
      <c r="D7" s="5">
        <v>43697</v>
      </c>
      <c r="E7" s="4">
        <v>493.97</v>
      </c>
      <c r="F7" t="s">
        <v>1148</v>
      </c>
      <c r="G7" s="6">
        <v>43693</v>
      </c>
      <c r="H7" s="7">
        <v>85</v>
      </c>
      <c r="I7" s="187" t="s">
        <v>46</v>
      </c>
      <c r="J7" s="188"/>
      <c r="K7" s="8" t="s">
        <v>1170</v>
      </c>
      <c r="L7" s="8" t="s">
        <v>268</v>
      </c>
    </row>
    <row r="8" spans="1:12" ht="15.75" x14ac:dyDescent="0.25">
      <c r="A8" s="2"/>
      <c r="B8" s="3"/>
      <c r="C8" s="11"/>
      <c r="D8" s="22">
        <v>43697</v>
      </c>
      <c r="E8" s="4">
        <v>1832.27</v>
      </c>
      <c r="F8" t="s">
        <v>1148</v>
      </c>
      <c r="G8" s="6">
        <v>43697</v>
      </c>
      <c r="H8" s="7">
        <v>500</v>
      </c>
      <c r="I8" s="187" t="s">
        <v>763</v>
      </c>
      <c r="J8" s="188"/>
      <c r="K8" s="8" t="s">
        <v>488</v>
      </c>
      <c r="L8" s="8" t="s">
        <v>267</v>
      </c>
    </row>
    <row r="9" spans="1:12" ht="15.75" x14ac:dyDescent="0.25">
      <c r="A9" s="2"/>
      <c r="B9" s="3"/>
      <c r="C9" s="11"/>
      <c r="D9" s="5">
        <v>43699</v>
      </c>
      <c r="E9" s="4">
        <v>200</v>
      </c>
      <c r="F9" s="42" t="s">
        <v>1149</v>
      </c>
      <c r="G9" s="6">
        <v>43698</v>
      </c>
      <c r="H9" s="7">
        <v>300</v>
      </c>
      <c r="I9" s="187" t="s">
        <v>875</v>
      </c>
      <c r="J9" s="188"/>
      <c r="K9" s="8" t="s">
        <v>1016</v>
      </c>
      <c r="L9" s="8" t="s">
        <v>268</v>
      </c>
    </row>
    <row r="10" spans="1:12" ht="15.75" x14ac:dyDescent="0.25">
      <c r="A10" s="2"/>
      <c r="B10" s="3"/>
      <c r="C10" s="11"/>
      <c r="D10" s="5">
        <v>43669</v>
      </c>
      <c r="E10" s="4">
        <v>330.6</v>
      </c>
      <c r="F10" t="s">
        <v>1154</v>
      </c>
      <c r="G10" s="6">
        <v>43699</v>
      </c>
      <c r="H10" s="7">
        <v>1200</v>
      </c>
      <c r="I10" s="187" t="s">
        <v>1150</v>
      </c>
      <c r="J10" s="188"/>
      <c r="K10" s="8" t="s">
        <v>1151</v>
      </c>
      <c r="L10" s="8" t="s">
        <v>267</v>
      </c>
    </row>
    <row r="11" spans="1:12" ht="15.75" x14ac:dyDescent="0.25">
      <c r="A11" s="2" t="s">
        <v>59</v>
      </c>
      <c r="B11" s="3">
        <f>(B7-B9)/2</f>
        <v>7268.7050000000017</v>
      </c>
      <c r="C11" s="11"/>
      <c r="D11" s="5">
        <v>43705</v>
      </c>
      <c r="E11" s="4">
        <v>105</v>
      </c>
      <c r="F11" t="s">
        <v>1041</v>
      </c>
      <c r="G11" s="6">
        <v>43700</v>
      </c>
      <c r="H11" s="7">
        <v>1500</v>
      </c>
      <c r="I11" s="187" t="s">
        <v>46</v>
      </c>
      <c r="J11" s="188"/>
      <c r="K11" s="8" t="s">
        <v>1152</v>
      </c>
      <c r="L11" s="8" t="s">
        <v>268</v>
      </c>
    </row>
    <row r="12" spans="1:12" ht="15.75" x14ac:dyDescent="0.25">
      <c r="A12" s="2"/>
      <c r="B12" s="3"/>
      <c r="C12" s="11"/>
      <c r="D12" s="22">
        <v>43714</v>
      </c>
      <c r="E12" s="4">
        <v>100</v>
      </c>
      <c r="F12" t="s">
        <v>1129</v>
      </c>
      <c r="G12" s="6">
        <v>43700</v>
      </c>
      <c r="H12" s="7">
        <v>300</v>
      </c>
      <c r="I12" s="187" t="s">
        <v>875</v>
      </c>
      <c r="J12" s="188"/>
      <c r="K12" s="8" t="s">
        <v>1153</v>
      </c>
      <c r="L12" s="8" t="s">
        <v>268</v>
      </c>
    </row>
    <row r="13" spans="1:12" ht="15.75" x14ac:dyDescent="0.25">
      <c r="A13" s="2"/>
      <c r="B13" s="3"/>
      <c r="C13" s="11"/>
      <c r="D13" s="22"/>
      <c r="E13" s="4"/>
      <c r="G13" s="6">
        <v>43704</v>
      </c>
      <c r="H13" s="7">
        <v>1580</v>
      </c>
      <c r="I13" s="187" t="s">
        <v>46</v>
      </c>
      <c r="J13" s="188"/>
      <c r="K13" s="8" t="s">
        <v>1155</v>
      </c>
      <c r="L13" s="8" t="s">
        <v>268</v>
      </c>
    </row>
    <row r="14" spans="1:12" ht="15.75" x14ac:dyDescent="0.25">
      <c r="A14" s="2"/>
      <c r="B14" s="3"/>
      <c r="C14" s="11"/>
      <c r="D14" s="22"/>
      <c r="E14" s="4"/>
      <c r="G14" s="6">
        <v>43704</v>
      </c>
      <c r="H14" s="7">
        <v>900</v>
      </c>
      <c r="I14" s="187" t="s">
        <v>654</v>
      </c>
      <c r="J14" s="188"/>
      <c r="K14" s="8" t="s">
        <v>1072</v>
      </c>
      <c r="L14" s="8" t="s">
        <v>267</v>
      </c>
    </row>
    <row r="15" spans="1:12" ht="15.75" x14ac:dyDescent="0.25">
      <c r="A15" s="2"/>
      <c r="B15" s="3"/>
      <c r="C15" s="11"/>
      <c r="D15" s="22"/>
      <c r="E15" s="4"/>
      <c r="G15" s="6">
        <v>43704</v>
      </c>
      <c r="H15" s="7">
        <v>314.76</v>
      </c>
      <c r="I15" s="187" t="s">
        <v>875</v>
      </c>
      <c r="J15" s="188"/>
      <c r="K15" s="8" t="s">
        <v>854</v>
      </c>
      <c r="L15" s="8" t="s">
        <v>268</v>
      </c>
    </row>
    <row r="16" spans="1:12" ht="15.75" x14ac:dyDescent="0.25">
      <c r="A16" s="2"/>
      <c r="B16" s="2"/>
      <c r="C16" s="1"/>
      <c r="D16" s="22"/>
      <c r="E16" s="4"/>
      <c r="G16" s="6">
        <v>43705</v>
      </c>
      <c r="H16" s="7">
        <v>5000</v>
      </c>
      <c r="I16" s="187" t="s">
        <v>1088</v>
      </c>
      <c r="J16" s="188"/>
      <c r="K16" s="8" t="s">
        <v>1058</v>
      </c>
      <c r="L16" s="8" t="s">
        <v>267</v>
      </c>
    </row>
    <row r="17" spans="1:12" ht="15.75" x14ac:dyDescent="0.25">
      <c r="A17" s="198" t="s">
        <v>56</v>
      </c>
      <c r="B17" s="198"/>
      <c r="C17" s="1"/>
      <c r="D17" s="44"/>
      <c r="E17" s="21"/>
      <c r="G17" s="6">
        <v>43706</v>
      </c>
      <c r="H17" s="7">
        <v>500</v>
      </c>
      <c r="I17" s="187" t="s">
        <v>855</v>
      </c>
      <c r="J17" s="188"/>
      <c r="K17" s="8" t="s">
        <v>1156</v>
      </c>
      <c r="L17" s="8" t="s">
        <v>268</v>
      </c>
    </row>
    <row r="18" spans="1:12" ht="15.75" x14ac:dyDescent="0.25">
      <c r="A18" s="2"/>
      <c r="B18" s="3"/>
      <c r="C18" s="1"/>
      <c r="D18" s="12"/>
      <c r="E18" s="12"/>
      <c r="G18" s="6">
        <v>43711</v>
      </c>
      <c r="H18" s="7">
        <v>500</v>
      </c>
      <c r="I18" s="187" t="s">
        <v>855</v>
      </c>
      <c r="J18" s="188"/>
      <c r="K18" s="8" t="s">
        <v>1156</v>
      </c>
      <c r="L18" s="8" t="s">
        <v>268</v>
      </c>
    </row>
    <row r="19" spans="1:12" ht="15.75" x14ac:dyDescent="0.25">
      <c r="A19" s="2" t="s">
        <v>57</v>
      </c>
      <c r="B19" s="3">
        <f>B11-E25</f>
        <v>3310.6850000000018</v>
      </c>
      <c r="C19" s="1"/>
      <c r="D19" s="2"/>
      <c r="E19" s="2"/>
      <c r="G19" s="6">
        <v>43714</v>
      </c>
      <c r="H19" s="7">
        <v>500</v>
      </c>
      <c r="I19" s="187" t="s">
        <v>1134</v>
      </c>
      <c r="J19" s="188"/>
      <c r="K19" s="8" t="s">
        <v>1160</v>
      </c>
      <c r="L19" s="8" t="s">
        <v>268</v>
      </c>
    </row>
    <row r="20" spans="1:12" ht="15.75" x14ac:dyDescent="0.25">
      <c r="A20" s="2" t="s">
        <v>12</v>
      </c>
      <c r="B20" s="3">
        <f>B11</f>
        <v>7268.7050000000017</v>
      </c>
      <c r="C20" s="1"/>
      <c r="D20" s="5"/>
      <c r="E20" s="21"/>
      <c r="G20" s="6">
        <v>43717</v>
      </c>
      <c r="H20" s="7">
        <v>450</v>
      </c>
      <c r="I20" s="187" t="s">
        <v>1172</v>
      </c>
      <c r="J20" s="188"/>
      <c r="K20" s="8" t="s">
        <v>2219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43718</v>
      </c>
      <c r="H21" s="7">
        <v>750</v>
      </c>
      <c r="I21" s="187" t="s">
        <v>1171</v>
      </c>
      <c r="J21" s="188"/>
      <c r="K21" s="8" t="s">
        <v>2216</v>
      </c>
      <c r="L21" s="8" t="s">
        <v>268</v>
      </c>
    </row>
    <row r="22" spans="1:12" ht="15.75" x14ac:dyDescent="0.25">
      <c r="A22" s="2"/>
      <c r="B22" s="2"/>
      <c r="C22" s="1"/>
      <c r="D22" s="22"/>
      <c r="E22" s="21"/>
      <c r="G22" s="6">
        <v>43718</v>
      </c>
      <c r="H22" s="7">
        <v>350</v>
      </c>
      <c r="I22" s="187" t="s">
        <v>763</v>
      </c>
      <c r="J22" s="188"/>
      <c r="K22" s="8" t="s">
        <v>950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43718</v>
      </c>
      <c r="H23" s="7">
        <v>4534.47</v>
      </c>
      <c r="I23" s="187" t="s">
        <v>2244</v>
      </c>
      <c r="J23" s="188"/>
      <c r="K23" s="8" t="s">
        <v>1180</v>
      </c>
      <c r="L23" s="8" t="s">
        <v>267</v>
      </c>
    </row>
    <row r="24" spans="1:12" ht="15.75" x14ac:dyDescent="0.25">
      <c r="A24" s="196"/>
      <c r="B24" s="196"/>
      <c r="C24" s="1"/>
      <c r="D24" s="22"/>
      <c r="E24" s="21"/>
      <c r="F24" s="1"/>
      <c r="G24" s="6"/>
      <c r="H24" s="7"/>
      <c r="I24" s="187"/>
      <c r="J24" s="188"/>
      <c r="K24" s="8"/>
      <c r="L24" s="8"/>
    </row>
    <row r="25" spans="1:12" ht="15.75" x14ac:dyDescent="0.25">
      <c r="A25" s="1"/>
      <c r="B25" s="1"/>
      <c r="C25" s="1"/>
      <c r="D25" s="12" t="s">
        <v>23</v>
      </c>
      <c r="E25" s="24">
        <f>SUM(E3:E24)</f>
        <v>3958.02</v>
      </c>
      <c r="F25" s="1"/>
      <c r="G25" s="6"/>
      <c r="H25" s="7"/>
      <c r="I25" s="187"/>
      <c r="J25" s="188"/>
      <c r="K25" s="8"/>
      <c r="L25" s="8"/>
    </row>
    <row r="26" spans="1:12" ht="15.75" x14ac:dyDescent="0.25">
      <c r="A26" s="1"/>
      <c r="B26" s="1"/>
      <c r="C26" s="1"/>
      <c r="D26" s="17"/>
      <c r="E26" s="17"/>
      <c r="F26" s="1"/>
      <c r="G26" s="6"/>
      <c r="H26" s="7"/>
      <c r="I26" s="187"/>
      <c r="J26" s="188"/>
      <c r="K26" s="8"/>
      <c r="L26" s="8"/>
    </row>
    <row r="27" spans="1:12" ht="18.75" x14ac:dyDescent="0.3">
      <c r="A27" s="17"/>
      <c r="B27" s="17"/>
      <c r="C27" s="17"/>
      <c r="D27" s="178"/>
      <c r="E27" s="178"/>
      <c r="F27" s="9"/>
      <c r="G27" s="6" t="s">
        <v>23</v>
      </c>
      <c r="H27" s="193">
        <f>SUM(H3:H26)</f>
        <v>24764.230000000003</v>
      </c>
      <c r="I27" s="194"/>
      <c r="J27" s="194"/>
      <c r="K27" s="194"/>
      <c r="L27" s="195"/>
    </row>
    <row r="28" spans="1:12" ht="15.75" x14ac:dyDescent="0.25">
      <c r="A28" s="209"/>
      <c r="B28" s="209"/>
      <c r="C28" s="209"/>
      <c r="D28" s="209"/>
      <c r="E28" s="209"/>
      <c r="F28" s="209"/>
      <c r="G28" s="1"/>
      <c r="H28" s="1"/>
      <c r="I28" s="1"/>
      <c r="J28" s="1"/>
      <c r="K28" s="196"/>
      <c r="L28" s="196"/>
    </row>
    <row r="29" spans="1:12" x14ac:dyDescent="0.25">
      <c r="A29" s="209"/>
      <c r="B29" s="209"/>
      <c r="C29" s="209"/>
      <c r="D29" s="209"/>
      <c r="E29" s="209"/>
      <c r="F29" s="209"/>
      <c r="G29" s="180"/>
      <c r="H29" s="180"/>
      <c r="I29" s="180" t="s">
        <v>69</v>
      </c>
      <c r="J29" s="180"/>
      <c r="K29" s="180" t="s">
        <v>69</v>
      </c>
      <c r="L29" s="180"/>
    </row>
    <row r="30" spans="1:12" x14ac:dyDescent="0.25">
      <c r="A30" s="209"/>
      <c r="B30" s="209"/>
      <c r="C30" s="209"/>
      <c r="D30" s="209"/>
      <c r="E30" s="209"/>
      <c r="F30" s="209"/>
      <c r="G30" s="180"/>
      <c r="H30" s="180"/>
      <c r="I30" s="180" t="s">
        <v>65</v>
      </c>
      <c r="J30" s="180"/>
      <c r="K30" s="180" t="s">
        <v>67</v>
      </c>
      <c r="L30" s="180"/>
    </row>
    <row r="31" spans="1:12" ht="15.75" x14ac:dyDescent="0.25">
      <c r="A31" s="17"/>
      <c r="B31" s="29"/>
      <c r="C31" s="29"/>
      <c r="D31" s="29"/>
      <c r="E31" s="20"/>
      <c r="F31" s="1"/>
      <c r="K31" s="180"/>
      <c r="L31" s="180"/>
    </row>
    <row r="32" spans="1:12" ht="15.75" x14ac:dyDescent="0.25">
      <c r="A32" s="178"/>
      <c r="B32" s="178"/>
      <c r="C32" s="178"/>
      <c r="D32" s="178"/>
      <c r="E32" s="178"/>
      <c r="F32" s="178"/>
      <c r="K32" s="18"/>
      <c r="L32" s="18"/>
    </row>
    <row r="33" spans="1:12" x14ac:dyDescent="0.25">
      <c r="A33" s="180"/>
      <c r="B33" s="180"/>
      <c r="C33" s="180"/>
      <c r="D33" s="180"/>
      <c r="E33" s="180"/>
      <c r="F33" s="180"/>
      <c r="K33" s="18"/>
      <c r="L33" s="18"/>
    </row>
    <row r="34" spans="1:12" ht="18.75" x14ac:dyDescent="0.3">
      <c r="G34" s="184" t="s">
        <v>1181</v>
      </c>
      <c r="H34" s="184"/>
      <c r="I34" s="184"/>
      <c r="J34" s="184"/>
      <c r="K34" s="180"/>
      <c r="L34" s="180"/>
    </row>
    <row r="35" spans="1:12" ht="15.75" x14ac:dyDescent="0.25">
      <c r="G35" s="2" t="s">
        <v>1</v>
      </c>
      <c r="H35" s="2" t="s">
        <v>6</v>
      </c>
      <c r="I35" s="182" t="s">
        <v>13</v>
      </c>
      <c r="J35" s="183"/>
      <c r="K35" s="180"/>
      <c r="L35" s="180"/>
    </row>
    <row r="36" spans="1:12" ht="15.75" x14ac:dyDescent="0.25">
      <c r="G36" s="6">
        <v>43683</v>
      </c>
      <c r="H36" s="7">
        <v>600</v>
      </c>
      <c r="I36" s="182" t="s">
        <v>879</v>
      </c>
      <c r="J36" s="183"/>
      <c r="K36" s="18"/>
      <c r="L36" s="18"/>
    </row>
    <row r="37" spans="1:12" ht="15.75" x14ac:dyDescent="0.25">
      <c r="G37" s="6">
        <v>43697</v>
      </c>
      <c r="H37" s="7">
        <v>1800</v>
      </c>
      <c r="I37" s="182" t="s">
        <v>173</v>
      </c>
      <c r="J37" s="183"/>
      <c r="K37" s="18"/>
      <c r="L37" s="18"/>
    </row>
    <row r="38" spans="1:12" ht="15.75" x14ac:dyDescent="0.25">
      <c r="G38" s="6">
        <v>43624</v>
      </c>
      <c r="H38" s="4">
        <v>420.74</v>
      </c>
      <c r="I38" s="182" t="s">
        <v>1141</v>
      </c>
      <c r="J38" s="183"/>
      <c r="K38" s="180"/>
      <c r="L38" s="180"/>
    </row>
    <row r="39" spans="1:12" ht="15.75" x14ac:dyDescent="0.25">
      <c r="G39" s="6">
        <v>43709</v>
      </c>
      <c r="H39" s="4">
        <v>6000</v>
      </c>
      <c r="I39" s="182" t="s">
        <v>1142</v>
      </c>
      <c r="J39" s="183"/>
      <c r="K39" s="180"/>
      <c r="L39" s="180"/>
    </row>
    <row r="40" spans="1:12" ht="15.75" x14ac:dyDescent="0.25">
      <c r="G40" s="6">
        <v>43688</v>
      </c>
      <c r="H40" s="35">
        <v>294.75</v>
      </c>
      <c r="I40" s="182" t="s">
        <v>1143</v>
      </c>
      <c r="J40" s="183"/>
    </row>
    <row r="41" spans="1:12" ht="15.75" x14ac:dyDescent="0.25">
      <c r="G41" s="6">
        <v>43665</v>
      </c>
      <c r="H41" s="7">
        <v>111.43</v>
      </c>
      <c r="I41" s="182" t="s">
        <v>1114</v>
      </c>
      <c r="J41" s="183"/>
    </row>
    <row r="42" spans="1:12" ht="15.75" x14ac:dyDescent="0.25">
      <c r="G42" s="6">
        <v>43656</v>
      </c>
      <c r="H42" s="7">
        <v>107.9</v>
      </c>
      <c r="I42" s="182" t="s">
        <v>262</v>
      </c>
      <c r="J42" s="183"/>
    </row>
    <row r="43" spans="1:12" ht="15.75" x14ac:dyDescent="0.25">
      <c r="G43" s="6">
        <v>43703</v>
      </c>
      <c r="H43" s="4">
        <v>118.78</v>
      </c>
      <c r="I43" s="182" t="s">
        <v>1114</v>
      </c>
      <c r="J43" s="183"/>
    </row>
    <row r="44" spans="1:12" ht="15.75" x14ac:dyDescent="0.25">
      <c r="G44" s="6">
        <v>43710</v>
      </c>
      <c r="H44" s="4">
        <v>273.22000000000003</v>
      </c>
      <c r="I44" s="182" t="s">
        <v>1157</v>
      </c>
      <c r="J44" s="183"/>
    </row>
    <row r="45" spans="1:12" ht="15.75" x14ac:dyDescent="0.25">
      <c r="G45" s="6">
        <v>43684</v>
      </c>
      <c r="H45" s="4">
        <v>500</v>
      </c>
      <c r="I45" s="182" t="s">
        <v>1158</v>
      </c>
      <c r="J45" s="183"/>
    </row>
    <row r="46" spans="1:12" ht="15.75" x14ac:dyDescent="0.25">
      <c r="G46" s="6"/>
      <c r="H46" s="35"/>
      <c r="I46" s="182"/>
      <c r="J46" s="183"/>
      <c r="K46" s="204"/>
      <c r="L46" s="205"/>
    </row>
    <row r="47" spans="1:12" ht="15.75" x14ac:dyDescent="0.25">
      <c r="G47" s="6"/>
      <c r="H47" s="35"/>
      <c r="I47" s="182"/>
      <c r="J47" s="183"/>
    </row>
    <row r="48" spans="1:12" ht="15.75" x14ac:dyDescent="0.25">
      <c r="G48" s="6"/>
      <c r="H48" s="35"/>
      <c r="I48" s="208"/>
      <c r="J48" s="208"/>
    </row>
    <row r="49" spans="7:10" ht="15.75" x14ac:dyDescent="0.25">
      <c r="G49" s="6"/>
      <c r="H49" s="4"/>
      <c r="I49" s="208"/>
      <c r="J49" s="208"/>
    </row>
    <row r="50" spans="7:10" ht="15.75" x14ac:dyDescent="0.25">
      <c r="G50" s="6"/>
      <c r="H50" s="4"/>
      <c r="I50" s="182"/>
      <c r="J50" s="183"/>
    </row>
    <row r="51" spans="7:10" ht="15.75" x14ac:dyDescent="0.25">
      <c r="G51" s="6"/>
      <c r="H51" s="4"/>
      <c r="I51" s="208"/>
      <c r="J51" s="208"/>
    </row>
    <row r="52" spans="7:10" ht="15.75" x14ac:dyDescent="0.25">
      <c r="G52" s="6"/>
      <c r="H52" s="4"/>
      <c r="I52" s="208"/>
      <c r="J52" s="208"/>
    </row>
    <row r="53" spans="7:10" ht="15.75" x14ac:dyDescent="0.25">
      <c r="G53" s="6"/>
      <c r="H53" s="4"/>
      <c r="I53" s="182"/>
      <c r="J53" s="183"/>
    </row>
    <row r="54" spans="7:10" ht="15.75" x14ac:dyDescent="0.25">
      <c r="G54" s="6"/>
      <c r="H54" s="4"/>
      <c r="I54" s="182"/>
      <c r="J54" s="183"/>
    </row>
  </sheetData>
  <mergeCells count="75">
    <mergeCell ref="I51:J51"/>
    <mergeCell ref="I52:J52"/>
    <mergeCell ref="I53:J53"/>
    <mergeCell ref="I54:J54"/>
    <mergeCell ref="I46:J46"/>
    <mergeCell ref="K46:L46"/>
    <mergeCell ref="I47:J47"/>
    <mergeCell ref="I48:J48"/>
    <mergeCell ref="I49:J49"/>
    <mergeCell ref="I50:J50"/>
    <mergeCell ref="I45:J45"/>
    <mergeCell ref="I36:J36"/>
    <mergeCell ref="I37:J37"/>
    <mergeCell ref="I38:J38"/>
    <mergeCell ref="K38:L38"/>
    <mergeCell ref="I39:J39"/>
    <mergeCell ref="K39:L39"/>
    <mergeCell ref="I40:J40"/>
    <mergeCell ref="I41:J41"/>
    <mergeCell ref="I42:J42"/>
    <mergeCell ref="I43:J43"/>
    <mergeCell ref="I44:J44"/>
    <mergeCell ref="A33:B33"/>
    <mergeCell ref="C33:D33"/>
    <mergeCell ref="E33:F33"/>
    <mergeCell ref="G34:J34"/>
    <mergeCell ref="K34:L34"/>
    <mergeCell ref="I35:J35"/>
    <mergeCell ref="K35:L35"/>
    <mergeCell ref="I30:J30"/>
    <mergeCell ref="K30:L30"/>
    <mergeCell ref="K31:L31"/>
    <mergeCell ref="I23:J23"/>
    <mergeCell ref="A24:B24"/>
    <mergeCell ref="I24:J24"/>
    <mergeCell ref="A32:B32"/>
    <mergeCell ref="C32:D32"/>
    <mergeCell ref="E32:F32"/>
    <mergeCell ref="I25:J25"/>
    <mergeCell ref="I26:J26"/>
    <mergeCell ref="D27:E27"/>
    <mergeCell ref="H27:L27"/>
    <mergeCell ref="A28:F30"/>
    <mergeCell ref="K28:L28"/>
    <mergeCell ref="G29:H29"/>
    <mergeCell ref="I29:J29"/>
    <mergeCell ref="K29:L29"/>
    <mergeCell ref="G30:H30"/>
    <mergeCell ref="I18:J18"/>
    <mergeCell ref="I20:J20"/>
    <mergeCell ref="I21:J21"/>
    <mergeCell ref="I19:J19"/>
    <mergeCell ref="I22:J22"/>
    <mergeCell ref="I10:J10"/>
    <mergeCell ref="I11:J11"/>
    <mergeCell ref="I12:J12"/>
    <mergeCell ref="I13:J13"/>
    <mergeCell ref="A17:B17"/>
    <mergeCell ref="I17:J17"/>
    <mergeCell ref="I14:J14"/>
    <mergeCell ref="I16:J16"/>
    <mergeCell ref="I15:J15"/>
    <mergeCell ref="I9:J9"/>
    <mergeCell ref="I8:J8"/>
    <mergeCell ref="A1:B1"/>
    <mergeCell ref="D1:E1"/>
    <mergeCell ref="G1:L1"/>
    <mergeCell ref="A2:B2"/>
    <mergeCell ref="D2:E2"/>
    <mergeCell ref="I2:J2"/>
    <mergeCell ref="I3:J3"/>
    <mergeCell ref="I4:J4"/>
    <mergeCell ref="I5:J5"/>
    <mergeCell ref="I6:J6"/>
    <mergeCell ref="I7:J7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43"/>
  <dimension ref="A1:L55"/>
  <sheetViews>
    <sheetView topLeftCell="G28" workbookViewId="0">
      <selection activeCell="I43" sqref="I43:J43"/>
    </sheetView>
  </sheetViews>
  <sheetFormatPr defaultRowHeight="15" x14ac:dyDescent="0.25"/>
  <cols>
    <col min="1" max="1" width="22.42578125" customWidth="1"/>
    <col min="2" max="2" width="20.140625" customWidth="1"/>
    <col min="3" max="3" width="12" customWidth="1"/>
    <col min="4" max="4" width="19.140625" customWidth="1"/>
    <col min="5" max="5" width="19.5703125" customWidth="1"/>
    <col min="6" max="6" width="30" customWidth="1"/>
    <col min="7" max="7" width="16" customWidth="1"/>
    <col min="8" max="8" width="16.7109375" customWidth="1"/>
    <col min="9" max="9" width="15.28515625" customWidth="1"/>
    <col min="10" max="10" width="46.85546875" customWidth="1"/>
    <col min="11" max="11" width="25.7109375" customWidth="1"/>
    <col min="12" max="12" width="15.140625" customWidth="1"/>
  </cols>
  <sheetData>
    <row r="1" spans="1:12" ht="18.75" x14ac:dyDescent="0.3">
      <c r="A1" s="184" t="s">
        <v>656</v>
      </c>
      <c r="B1" s="184"/>
      <c r="C1" s="10"/>
      <c r="D1" s="199" t="s">
        <v>55</v>
      </c>
      <c r="E1" s="200"/>
      <c r="G1" s="184" t="s">
        <v>1161</v>
      </c>
      <c r="H1" s="184"/>
      <c r="I1" s="184"/>
      <c r="J1" s="184"/>
      <c r="K1" s="184"/>
      <c r="L1" s="184"/>
    </row>
    <row r="2" spans="1:12" ht="18.75" x14ac:dyDescent="0.3">
      <c r="A2" s="184" t="s">
        <v>657</v>
      </c>
      <c r="B2" s="184"/>
      <c r="C2" s="10"/>
      <c r="D2" s="189" t="s">
        <v>11</v>
      </c>
      <c r="E2" s="190"/>
      <c r="G2" s="12" t="s">
        <v>1</v>
      </c>
      <c r="H2" s="13" t="s">
        <v>6</v>
      </c>
      <c r="I2" s="185" t="s">
        <v>7</v>
      </c>
      <c r="J2" s="186"/>
      <c r="K2" s="13" t="s">
        <v>8</v>
      </c>
      <c r="L2" s="13" t="s">
        <v>9</v>
      </c>
    </row>
    <row r="3" spans="1:12" ht="15.75" x14ac:dyDescent="0.25">
      <c r="A3" s="2" t="s">
        <v>2</v>
      </c>
      <c r="B3" s="3">
        <f>H28</f>
        <v>28400.05</v>
      </c>
      <c r="C3" s="11"/>
      <c r="D3" s="5"/>
      <c r="E3" s="4">
        <v>265</v>
      </c>
      <c r="F3" t="s">
        <v>1163</v>
      </c>
      <c r="G3" s="6">
        <v>43719</v>
      </c>
      <c r="H3" s="7">
        <v>500</v>
      </c>
      <c r="I3" s="187" t="s">
        <v>1092</v>
      </c>
      <c r="J3" s="188"/>
      <c r="K3" s="8" t="s">
        <v>2275</v>
      </c>
      <c r="L3" s="8" t="s">
        <v>267</v>
      </c>
    </row>
    <row r="4" spans="1:12" ht="15.75" x14ac:dyDescent="0.25">
      <c r="A4" s="2" t="s">
        <v>3</v>
      </c>
      <c r="B4" s="3"/>
      <c r="C4" s="11"/>
      <c r="D4" s="22">
        <v>43512</v>
      </c>
      <c r="E4" s="4">
        <v>343.66</v>
      </c>
      <c r="F4" t="s">
        <v>1164</v>
      </c>
      <c r="G4" s="6">
        <v>43724</v>
      </c>
      <c r="H4" s="7">
        <v>1500</v>
      </c>
      <c r="I4" s="187" t="s">
        <v>875</v>
      </c>
      <c r="J4" s="188"/>
      <c r="K4" s="8" t="s">
        <v>864</v>
      </c>
      <c r="L4" s="8" t="s">
        <v>268</v>
      </c>
    </row>
    <row r="5" spans="1:12" ht="15.75" x14ac:dyDescent="0.25">
      <c r="A5" s="2" t="s">
        <v>4</v>
      </c>
      <c r="B5" s="3">
        <f>SUM(H37:H55)</f>
        <v>10369.699999999999</v>
      </c>
      <c r="C5" s="11"/>
      <c r="D5" s="5">
        <v>43620</v>
      </c>
      <c r="E5" s="4">
        <v>238.75</v>
      </c>
      <c r="F5" t="s">
        <v>1165</v>
      </c>
      <c r="G5" s="6">
        <v>43725</v>
      </c>
      <c r="H5" s="7">
        <v>500</v>
      </c>
      <c r="I5" s="187" t="s">
        <v>139</v>
      </c>
      <c r="J5" s="188"/>
      <c r="K5" s="8" t="s">
        <v>2243</v>
      </c>
      <c r="L5" s="8" t="s">
        <v>267</v>
      </c>
    </row>
    <row r="6" spans="1:12" ht="15.75" x14ac:dyDescent="0.25">
      <c r="A6" s="2"/>
      <c r="B6" s="3"/>
      <c r="C6" s="11"/>
      <c r="D6" s="5">
        <v>43669</v>
      </c>
      <c r="E6" s="4">
        <v>330.6</v>
      </c>
      <c r="F6" t="s">
        <v>1166</v>
      </c>
      <c r="G6" s="6">
        <v>43725</v>
      </c>
      <c r="H6" s="7">
        <v>300</v>
      </c>
      <c r="I6" s="187" t="s">
        <v>1176</v>
      </c>
      <c r="J6" s="188"/>
      <c r="K6" s="8" t="s">
        <v>2272</v>
      </c>
      <c r="L6" s="8" t="s">
        <v>267</v>
      </c>
    </row>
    <row r="7" spans="1:12" ht="15.75" x14ac:dyDescent="0.25">
      <c r="A7" s="12" t="s">
        <v>5</v>
      </c>
      <c r="B7" s="25">
        <f>B3+B4-B5</f>
        <v>18030.349999999999</v>
      </c>
      <c r="C7" s="11"/>
      <c r="D7" s="22">
        <v>43707</v>
      </c>
      <c r="E7" s="4">
        <v>650</v>
      </c>
      <c r="F7" t="s">
        <v>1159</v>
      </c>
      <c r="G7" s="6">
        <v>43727</v>
      </c>
      <c r="H7" s="7">
        <v>600</v>
      </c>
      <c r="I7" s="187" t="s">
        <v>568</v>
      </c>
      <c r="J7" s="188"/>
      <c r="K7" s="8" t="s">
        <v>647</v>
      </c>
      <c r="L7" s="8" t="s">
        <v>267</v>
      </c>
    </row>
    <row r="8" spans="1:12" ht="15.75" x14ac:dyDescent="0.25">
      <c r="A8" s="2"/>
      <c r="B8" s="3"/>
      <c r="C8" s="11"/>
      <c r="D8" s="22">
        <v>43708</v>
      </c>
      <c r="E8" s="4">
        <v>511.08</v>
      </c>
      <c r="F8" t="s">
        <v>1178</v>
      </c>
      <c r="G8" s="6">
        <v>43727</v>
      </c>
      <c r="H8" s="7">
        <v>190</v>
      </c>
      <c r="I8" s="187" t="s">
        <v>1193</v>
      </c>
      <c r="J8" s="188"/>
      <c r="K8" s="8" t="s">
        <v>1192</v>
      </c>
      <c r="L8" s="8" t="s">
        <v>268</v>
      </c>
    </row>
    <row r="9" spans="1:12" ht="15.75" x14ac:dyDescent="0.25">
      <c r="A9" s="2"/>
      <c r="B9" s="3"/>
      <c r="C9" s="11"/>
      <c r="D9" s="5">
        <v>43725</v>
      </c>
      <c r="E9" s="4">
        <v>248.27</v>
      </c>
      <c r="F9" s="42" t="s">
        <v>1175</v>
      </c>
      <c r="G9" s="6">
        <v>43731</v>
      </c>
      <c r="H9" s="7">
        <v>450</v>
      </c>
      <c r="I9" s="187" t="s">
        <v>1172</v>
      </c>
      <c r="J9" s="188"/>
      <c r="K9" s="8" t="s">
        <v>2220</v>
      </c>
      <c r="L9" s="8" t="s">
        <v>268</v>
      </c>
    </row>
    <row r="10" spans="1:12" ht="15.75" x14ac:dyDescent="0.25">
      <c r="A10" s="2"/>
      <c r="B10" s="3"/>
      <c r="C10" s="11"/>
      <c r="D10" s="5">
        <v>43725</v>
      </c>
      <c r="E10" s="4">
        <v>600</v>
      </c>
      <c r="F10" t="s">
        <v>1177</v>
      </c>
      <c r="G10" s="6">
        <v>43732</v>
      </c>
      <c r="H10" s="7">
        <v>1200</v>
      </c>
      <c r="I10" s="187" t="s">
        <v>1183</v>
      </c>
      <c r="J10" s="188"/>
      <c r="K10" s="8" t="s">
        <v>1184</v>
      </c>
      <c r="L10" s="8" t="s">
        <v>268</v>
      </c>
    </row>
    <row r="11" spans="1:12" ht="15.75" x14ac:dyDescent="0.25">
      <c r="A11" s="2" t="s">
        <v>59</v>
      </c>
      <c r="B11" s="3">
        <f>(B7-B9)/2</f>
        <v>9015.1749999999993</v>
      </c>
      <c r="C11" s="11"/>
      <c r="D11" s="22">
        <v>43732</v>
      </c>
      <c r="E11" s="4">
        <v>50.77</v>
      </c>
      <c r="F11" t="s">
        <v>158</v>
      </c>
      <c r="G11" s="6">
        <v>43733</v>
      </c>
      <c r="H11" s="7">
        <v>300</v>
      </c>
      <c r="I11" s="187" t="s">
        <v>165</v>
      </c>
      <c r="J11" s="188"/>
      <c r="K11" s="8" t="s">
        <v>1187</v>
      </c>
      <c r="L11" s="8" t="s">
        <v>267</v>
      </c>
    </row>
    <row r="12" spans="1:12" ht="15.75" x14ac:dyDescent="0.25">
      <c r="A12" s="2"/>
      <c r="B12" s="3"/>
      <c r="C12" s="11"/>
      <c r="D12" s="22">
        <v>43732</v>
      </c>
      <c r="E12" s="4">
        <v>47.13</v>
      </c>
      <c r="F12" t="s">
        <v>272</v>
      </c>
      <c r="G12" s="6">
        <v>43734</v>
      </c>
      <c r="H12" s="7">
        <v>5000</v>
      </c>
      <c r="I12" s="187" t="s">
        <v>1127</v>
      </c>
      <c r="J12" s="188"/>
      <c r="K12" s="8" t="s">
        <v>1058</v>
      </c>
      <c r="L12" s="8" t="s">
        <v>267</v>
      </c>
    </row>
    <row r="13" spans="1:12" ht="15.75" x14ac:dyDescent="0.25">
      <c r="A13" s="2"/>
      <c r="B13" s="3"/>
      <c r="C13" s="11"/>
      <c r="D13" s="22">
        <v>43732</v>
      </c>
      <c r="E13" s="4">
        <v>172.79</v>
      </c>
      <c r="F13" t="s">
        <v>1041</v>
      </c>
      <c r="G13" s="6">
        <v>43735</v>
      </c>
      <c r="H13" s="7">
        <v>4170</v>
      </c>
      <c r="I13" s="187" t="s">
        <v>855</v>
      </c>
      <c r="J13" s="188"/>
      <c r="K13" s="8" t="s">
        <v>834</v>
      </c>
      <c r="L13" s="8" t="s">
        <v>268</v>
      </c>
    </row>
    <row r="14" spans="1:12" ht="15.75" x14ac:dyDescent="0.25">
      <c r="A14" s="2"/>
      <c r="B14" s="3"/>
      <c r="C14" s="11"/>
      <c r="D14" s="22">
        <v>43732</v>
      </c>
      <c r="E14" s="4">
        <v>595.95000000000005</v>
      </c>
      <c r="F14" t="s">
        <v>1185</v>
      </c>
      <c r="G14" s="6">
        <v>43738</v>
      </c>
      <c r="H14" s="7">
        <v>300</v>
      </c>
      <c r="I14" s="187" t="s">
        <v>165</v>
      </c>
      <c r="J14" s="188"/>
      <c r="K14" s="8" t="s">
        <v>1187</v>
      </c>
      <c r="L14" s="8" t="s">
        <v>267</v>
      </c>
    </row>
    <row r="15" spans="1:12" ht="15.75" x14ac:dyDescent="0.25">
      <c r="A15" s="2"/>
      <c r="B15" s="3"/>
      <c r="C15" s="11"/>
      <c r="D15" s="22">
        <v>43740</v>
      </c>
      <c r="E15" s="4">
        <v>33.53</v>
      </c>
      <c r="F15" t="s">
        <v>272</v>
      </c>
      <c r="G15" s="6">
        <v>43738</v>
      </c>
      <c r="H15" s="7">
        <v>1000</v>
      </c>
      <c r="I15" s="187" t="s">
        <v>46</v>
      </c>
      <c r="J15" s="188"/>
      <c r="K15" s="8" t="s">
        <v>1209</v>
      </c>
      <c r="L15" s="8" t="s">
        <v>268</v>
      </c>
    </row>
    <row r="16" spans="1:12" ht="15.75" x14ac:dyDescent="0.25">
      <c r="A16" s="2"/>
      <c r="B16" s="2"/>
      <c r="C16" s="1"/>
      <c r="D16" s="22">
        <v>43740</v>
      </c>
      <c r="E16" s="4">
        <v>66.55</v>
      </c>
      <c r="F16" t="s">
        <v>158</v>
      </c>
      <c r="G16" s="6">
        <v>43740</v>
      </c>
      <c r="H16" s="7">
        <v>1000</v>
      </c>
      <c r="I16" s="187" t="s">
        <v>46</v>
      </c>
      <c r="J16" s="188"/>
      <c r="K16" s="8" t="s">
        <v>1188</v>
      </c>
      <c r="L16" s="8" t="s">
        <v>268</v>
      </c>
    </row>
    <row r="17" spans="1:12" ht="15.75" x14ac:dyDescent="0.25">
      <c r="A17" s="198" t="s">
        <v>56</v>
      </c>
      <c r="B17" s="198"/>
      <c r="C17" s="1"/>
      <c r="D17" s="22">
        <v>43740</v>
      </c>
      <c r="E17" s="21">
        <v>200</v>
      </c>
      <c r="F17" t="s">
        <v>1189</v>
      </c>
      <c r="G17" s="6">
        <v>43740</v>
      </c>
      <c r="H17" s="7">
        <v>1000</v>
      </c>
      <c r="I17" s="187" t="s">
        <v>855</v>
      </c>
      <c r="J17" s="188"/>
      <c r="K17" s="8" t="s">
        <v>1190</v>
      </c>
      <c r="L17" s="8" t="s">
        <v>268</v>
      </c>
    </row>
    <row r="18" spans="1:12" ht="15.75" x14ac:dyDescent="0.25">
      <c r="A18" s="2"/>
      <c r="B18" s="3"/>
      <c r="C18" s="1"/>
      <c r="D18" s="5">
        <v>43741</v>
      </c>
      <c r="E18" s="43">
        <v>100</v>
      </c>
      <c r="F18" t="s">
        <v>1197</v>
      </c>
      <c r="G18" s="6">
        <v>43740</v>
      </c>
      <c r="H18" s="7">
        <v>1537.2</v>
      </c>
      <c r="I18" s="187" t="s">
        <v>46</v>
      </c>
      <c r="J18" s="188"/>
      <c r="K18" s="8" t="s">
        <v>1191</v>
      </c>
      <c r="L18" s="8" t="s">
        <v>268</v>
      </c>
    </row>
    <row r="19" spans="1:12" ht="15.75" x14ac:dyDescent="0.25">
      <c r="A19" s="2" t="s">
        <v>57</v>
      </c>
      <c r="B19" s="3">
        <f>B11-E25</f>
        <v>4561.0949999999993</v>
      </c>
      <c r="C19" s="1"/>
      <c r="D19" s="5"/>
      <c r="E19" s="2"/>
      <c r="G19" s="6">
        <v>43740</v>
      </c>
      <c r="H19" s="7">
        <v>1054.8</v>
      </c>
      <c r="I19" s="187" t="s">
        <v>46</v>
      </c>
      <c r="J19" s="188"/>
      <c r="K19" s="8" t="s">
        <v>1192</v>
      </c>
      <c r="L19" s="8" t="s">
        <v>268</v>
      </c>
    </row>
    <row r="20" spans="1:12" ht="15.75" x14ac:dyDescent="0.25">
      <c r="A20" s="2" t="s">
        <v>12</v>
      </c>
      <c r="B20" s="3">
        <f>B11</f>
        <v>9015.1749999999993</v>
      </c>
      <c r="C20" s="1"/>
      <c r="D20" s="5"/>
      <c r="E20" s="21"/>
      <c r="G20" s="6">
        <v>43745</v>
      </c>
      <c r="H20" s="7">
        <v>500</v>
      </c>
      <c r="I20" s="187" t="s">
        <v>875</v>
      </c>
      <c r="J20" s="188"/>
      <c r="K20" s="8" t="s">
        <v>1135</v>
      </c>
      <c r="L20" s="8" t="s">
        <v>268</v>
      </c>
    </row>
    <row r="21" spans="1:12" ht="15.75" x14ac:dyDescent="0.25">
      <c r="A21" s="2"/>
      <c r="B21" s="2"/>
      <c r="C21" s="1"/>
      <c r="D21" s="5"/>
      <c r="E21" s="21"/>
      <c r="G21" s="6">
        <v>43745</v>
      </c>
      <c r="H21" s="7">
        <v>500</v>
      </c>
      <c r="I21" s="187" t="s">
        <v>1208</v>
      </c>
      <c r="J21" s="188"/>
      <c r="K21" s="8"/>
      <c r="L21" s="8"/>
    </row>
    <row r="22" spans="1:12" ht="15.75" x14ac:dyDescent="0.25">
      <c r="A22" s="2"/>
      <c r="B22" s="2"/>
      <c r="C22" s="1"/>
      <c r="D22" s="22"/>
      <c r="E22" s="21"/>
      <c r="G22" s="6">
        <v>43748</v>
      </c>
      <c r="H22" s="7">
        <v>2000</v>
      </c>
      <c r="I22" s="187" t="s">
        <v>1210</v>
      </c>
      <c r="J22" s="188"/>
      <c r="K22" s="8" t="s">
        <v>2214</v>
      </c>
      <c r="L22" s="8" t="s">
        <v>267</v>
      </c>
    </row>
    <row r="23" spans="1:12" ht="15.75" x14ac:dyDescent="0.25">
      <c r="A23" s="1"/>
      <c r="B23" s="1"/>
      <c r="C23" s="1"/>
      <c r="D23" s="22"/>
      <c r="E23" s="21"/>
      <c r="F23" s="1"/>
      <c r="G23" s="6">
        <v>43748</v>
      </c>
      <c r="H23" s="7">
        <v>1000</v>
      </c>
      <c r="I23" s="187" t="s">
        <v>165</v>
      </c>
      <c r="J23" s="188"/>
      <c r="K23" s="8" t="s">
        <v>1194</v>
      </c>
      <c r="L23" s="8" t="s">
        <v>267</v>
      </c>
    </row>
    <row r="24" spans="1:12" ht="15.75" x14ac:dyDescent="0.25">
      <c r="A24" s="196"/>
      <c r="B24" s="196"/>
      <c r="C24" s="1"/>
      <c r="D24" s="22"/>
      <c r="E24" s="21"/>
      <c r="F24" s="1"/>
      <c r="G24" s="6">
        <v>43748</v>
      </c>
      <c r="H24" s="7">
        <v>488.05</v>
      </c>
      <c r="I24" s="187" t="s">
        <v>1196</v>
      </c>
      <c r="J24" s="188"/>
      <c r="K24" s="8" t="s">
        <v>1195</v>
      </c>
      <c r="L24" s="8" t="s">
        <v>268</v>
      </c>
    </row>
    <row r="25" spans="1:12" ht="15.75" x14ac:dyDescent="0.25">
      <c r="A25" s="1"/>
      <c r="B25" s="1"/>
      <c r="C25" s="1"/>
      <c r="D25" s="12" t="s">
        <v>23</v>
      </c>
      <c r="E25" s="24">
        <f>SUM(E3:E24)</f>
        <v>4454.08</v>
      </c>
      <c r="F25" s="1"/>
      <c r="G25" s="6">
        <v>43748</v>
      </c>
      <c r="H25" s="7">
        <v>1960</v>
      </c>
      <c r="I25" s="187" t="s">
        <v>1196</v>
      </c>
      <c r="J25" s="188"/>
      <c r="K25" s="8" t="s">
        <v>1156</v>
      </c>
      <c r="L25" s="8" t="s">
        <v>268</v>
      </c>
    </row>
    <row r="26" spans="1:12" ht="15.75" x14ac:dyDescent="0.25">
      <c r="A26" s="1"/>
      <c r="B26" s="1"/>
      <c r="C26" s="1"/>
      <c r="D26" s="17"/>
      <c r="E26" s="17"/>
      <c r="F26" s="1"/>
      <c r="G26" s="6">
        <v>43748</v>
      </c>
      <c r="H26" s="7">
        <v>350</v>
      </c>
      <c r="I26" s="187" t="s">
        <v>763</v>
      </c>
      <c r="J26" s="188"/>
      <c r="K26" s="8" t="s">
        <v>950</v>
      </c>
      <c r="L26" s="8" t="s">
        <v>267</v>
      </c>
    </row>
    <row r="27" spans="1:12" ht="18.75" x14ac:dyDescent="0.3">
      <c r="A27" s="17"/>
      <c r="B27" s="17"/>
      <c r="C27" s="17"/>
      <c r="D27" s="178"/>
      <c r="E27" s="178"/>
      <c r="F27" s="9"/>
      <c r="G27" s="6">
        <v>43748</v>
      </c>
      <c r="H27" s="7">
        <v>1000</v>
      </c>
      <c r="I27" s="187" t="s">
        <v>46</v>
      </c>
      <c r="J27" s="188"/>
      <c r="K27" s="8" t="s">
        <v>1198</v>
      </c>
      <c r="L27" s="8" t="s">
        <v>268</v>
      </c>
    </row>
    <row r="28" spans="1:12" ht="15.75" x14ac:dyDescent="0.25">
      <c r="A28" s="209"/>
      <c r="B28" s="209"/>
      <c r="C28" s="209"/>
      <c r="D28" s="209"/>
      <c r="E28" s="209"/>
      <c r="F28" s="209"/>
      <c r="G28" s="6" t="s">
        <v>23</v>
      </c>
      <c r="H28" s="193">
        <f>SUM(H3:H27)</f>
        <v>28400.05</v>
      </c>
      <c r="I28" s="194"/>
      <c r="J28" s="194"/>
      <c r="K28" s="194"/>
      <c r="L28" s="195"/>
    </row>
    <row r="29" spans="1:12" ht="15.75" x14ac:dyDescent="0.25">
      <c r="A29" s="209"/>
      <c r="B29" s="209"/>
      <c r="C29" s="209"/>
      <c r="D29" s="209"/>
      <c r="E29" s="209"/>
      <c r="F29" s="209"/>
      <c r="G29" s="1"/>
      <c r="H29" s="1"/>
      <c r="I29" s="1"/>
      <c r="J29" s="1"/>
      <c r="K29" s="196"/>
      <c r="L29" s="196"/>
    </row>
    <row r="30" spans="1:12" x14ac:dyDescent="0.25">
      <c r="A30" s="209"/>
      <c r="B30" s="209"/>
      <c r="C30" s="209"/>
      <c r="D30" s="209"/>
      <c r="E30" s="209"/>
      <c r="F30" s="209"/>
      <c r="G30" s="180"/>
      <c r="H30" s="180"/>
      <c r="I30" s="180" t="s">
        <v>69</v>
      </c>
      <c r="J30" s="180"/>
      <c r="K30" s="180" t="s">
        <v>69</v>
      </c>
      <c r="L30" s="180"/>
    </row>
    <row r="31" spans="1:12" ht="15.75" x14ac:dyDescent="0.25">
      <c r="A31" s="17"/>
      <c r="B31" s="29"/>
      <c r="C31" s="29"/>
      <c r="D31" s="29"/>
      <c r="E31" s="20"/>
      <c r="F31" s="1"/>
      <c r="G31" s="180"/>
      <c r="H31" s="180"/>
      <c r="I31" s="180" t="s">
        <v>65</v>
      </c>
      <c r="J31" s="180"/>
      <c r="K31" s="180" t="s">
        <v>67</v>
      </c>
      <c r="L31" s="180"/>
    </row>
    <row r="32" spans="1:12" ht="15.75" x14ac:dyDescent="0.25">
      <c r="A32" s="178"/>
      <c r="B32" s="178"/>
      <c r="C32" s="178"/>
      <c r="D32" s="178"/>
      <c r="E32" s="178"/>
      <c r="F32" s="178"/>
      <c r="K32" s="180"/>
      <c r="L32" s="180"/>
    </row>
    <row r="33" spans="1:12" x14ac:dyDescent="0.25">
      <c r="A33" s="180"/>
      <c r="B33" s="180"/>
      <c r="C33" s="180"/>
      <c r="D33" s="180"/>
      <c r="E33" s="180"/>
      <c r="F33" s="180"/>
      <c r="K33" s="18"/>
      <c r="L33" s="18"/>
    </row>
    <row r="34" spans="1:12" x14ac:dyDescent="0.25">
      <c r="K34" s="18"/>
      <c r="L34" s="18"/>
    </row>
    <row r="35" spans="1:12" ht="18.75" x14ac:dyDescent="0.3">
      <c r="G35" s="184" t="s">
        <v>1182</v>
      </c>
      <c r="H35" s="184"/>
      <c r="I35" s="184"/>
      <c r="J35" s="184"/>
      <c r="K35" s="180"/>
      <c r="L35" s="180"/>
    </row>
    <row r="36" spans="1:12" ht="15.75" x14ac:dyDescent="0.25">
      <c r="G36" s="2" t="s">
        <v>1</v>
      </c>
      <c r="H36" s="2" t="s">
        <v>6</v>
      </c>
      <c r="I36" s="182" t="s">
        <v>13</v>
      </c>
      <c r="J36" s="183"/>
      <c r="K36" s="180"/>
      <c r="L36" s="180"/>
    </row>
    <row r="37" spans="1:12" ht="15.75" x14ac:dyDescent="0.25">
      <c r="G37" s="6">
        <v>43748</v>
      </c>
      <c r="H37" s="7">
        <v>600</v>
      </c>
      <c r="I37" s="182" t="s">
        <v>879</v>
      </c>
      <c r="J37" s="183"/>
      <c r="K37" s="18"/>
      <c r="L37" s="18"/>
    </row>
    <row r="38" spans="1:12" ht="15.75" x14ac:dyDescent="0.25">
      <c r="G38" s="6">
        <v>43728</v>
      </c>
      <c r="H38" s="7">
        <v>1800</v>
      </c>
      <c r="I38" s="182" t="s">
        <v>173</v>
      </c>
      <c r="J38" s="183"/>
      <c r="K38" s="18"/>
      <c r="L38" s="18"/>
    </row>
    <row r="39" spans="1:12" ht="15.75" x14ac:dyDescent="0.25">
      <c r="G39" s="6">
        <v>43624</v>
      </c>
      <c r="H39" s="4">
        <v>420.74</v>
      </c>
      <c r="I39" s="182" t="s">
        <v>1167</v>
      </c>
      <c r="J39" s="183"/>
      <c r="K39" s="180"/>
      <c r="L39" s="180"/>
    </row>
    <row r="40" spans="1:12" ht="15.75" x14ac:dyDescent="0.25">
      <c r="G40" s="6">
        <v>43739</v>
      </c>
      <c r="H40" s="4">
        <v>6000</v>
      </c>
      <c r="I40" s="182" t="s">
        <v>1168</v>
      </c>
      <c r="J40" s="183"/>
      <c r="K40" s="180"/>
      <c r="L40" s="180"/>
    </row>
    <row r="41" spans="1:12" ht="15.75" x14ac:dyDescent="0.25">
      <c r="G41" s="6">
        <v>43688</v>
      </c>
      <c r="H41" s="35">
        <v>294.75</v>
      </c>
      <c r="I41" s="182" t="s">
        <v>1169</v>
      </c>
      <c r="J41" s="183"/>
    </row>
    <row r="42" spans="1:12" ht="15.75" x14ac:dyDescent="0.25">
      <c r="G42" s="6">
        <v>43718</v>
      </c>
      <c r="H42" s="7">
        <v>245.4</v>
      </c>
      <c r="I42" s="182" t="s">
        <v>1174</v>
      </c>
      <c r="J42" s="183"/>
    </row>
    <row r="43" spans="1:12" ht="15.75" x14ac:dyDescent="0.25">
      <c r="G43" s="6">
        <v>43719</v>
      </c>
      <c r="H43" s="7">
        <v>620.65</v>
      </c>
      <c r="I43" s="182" t="s">
        <v>1173</v>
      </c>
      <c r="J43" s="183"/>
    </row>
    <row r="44" spans="1:12" ht="15.75" x14ac:dyDescent="0.25">
      <c r="G44" s="6">
        <v>43722</v>
      </c>
      <c r="H44" s="4">
        <v>74.95</v>
      </c>
      <c r="I44" s="182" t="s">
        <v>1179</v>
      </c>
      <c r="J44" s="183"/>
    </row>
    <row r="45" spans="1:12" ht="15.75" x14ac:dyDescent="0.25">
      <c r="G45" s="6">
        <v>43732</v>
      </c>
      <c r="H45" s="4">
        <v>174.48</v>
      </c>
      <c r="I45" s="182" t="s">
        <v>1117</v>
      </c>
      <c r="J45" s="183"/>
    </row>
    <row r="46" spans="1:12" ht="15.75" x14ac:dyDescent="0.25">
      <c r="G46" s="6">
        <v>43732</v>
      </c>
      <c r="H46" s="4">
        <v>138.72999999999999</v>
      </c>
      <c r="I46" s="182" t="s">
        <v>1186</v>
      </c>
      <c r="J46" s="183"/>
    </row>
    <row r="47" spans="1:12" ht="15.75" x14ac:dyDescent="0.25">
      <c r="G47" s="6"/>
      <c r="H47" s="35"/>
      <c r="I47" s="182"/>
      <c r="J47" s="183"/>
      <c r="K47" s="204"/>
      <c r="L47" s="205"/>
    </row>
    <row r="48" spans="1:12" ht="15.75" x14ac:dyDescent="0.25">
      <c r="G48" s="6"/>
      <c r="H48" s="35"/>
      <c r="I48" s="182"/>
      <c r="J48" s="183"/>
    </row>
    <row r="49" spans="7:10" ht="15.75" x14ac:dyDescent="0.25">
      <c r="G49" s="6"/>
      <c r="H49" s="35"/>
      <c r="I49" s="208"/>
      <c r="J49" s="208"/>
    </row>
    <row r="50" spans="7:10" ht="15.75" x14ac:dyDescent="0.25">
      <c r="G50" s="6"/>
      <c r="H50" s="4"/>
      <c r="I50" s="208"/>
      <c r="J50" s="208"/>
    </row>
    <row r="51" spans="7:10" ht="15.75" x14ac:dyDescent="0.25">
      <c r="G51" s="6"/>
      <c r="H51" s="4"/>
      <c r="I51" s="182"/>
      <c r="J51" s="183"/>
    </row>
    <row r="52" spans="7:10" ht="15.75" x14ac:dyDescent="0.25">
      <c r="G52" s="6"/>
      <c r="H52" s="4"/>
      <c r="I52" s="208"/>
      <c r="J52" s="208"/>
    </row>
    <row r="53" spans="7:10" ht="15.75" x14ac:dyDescent="0.25">
      <c r="G53" s="6"/>
      <c r="H53" s="4"/>
      <c r="I53" s="208"/>
      <c r="J53" s="208"/>
    </row>
    <row r="54" spans="7:10" ht="15.75" x14ac:dyDescent="0.25">
      <c r="G54" s="6"/>
      <c r="H54" s="4"/>
      <c r="I54" s="182"/>
      <c r="J54" s="183"/>
    </row>
    <row r="55" spans="7:10" ht="15.75" x14ac:dyDescent="0.25">
      <c r="G55" s="6"/>
      <c r="H55" s="4"/>
      <c r="I55" s="182"/>
      <c r="J55" s="183"/>
    </row>
  </sheetData>
  <mergeCells count="76">
    <mergeCell ref="I13:J13"/>
    <mergeCell ref="A1:B1"/>
    <mergeCell ref="D1:E1"/>
    <mergeCell ref="G1:L1"/>
    <mergeCell ref="A2:B2"/>
    <mergeCell ref="D2:E2"/>
    <mergeCell ref="I2:J2"/>
    <mergeCell ref="A24:B24"/>
    <mergeCell ref="I25:J25"/>
    <mergeCell ref="I14:J14"/>
    <mergeCell ref="I3:J3"/>
    <mergeCell ref="I4:J4"/>
    <mergeCell ref="I5:J5"/>
    <mergeCell ref="I6:J6"/>
    <mergeCell ref="I7:J7"/>
    <mergeCell ref="I8:J8"/>
    <mergeCell ref="I9:J9"/>
    <mergeCell ref="I10:J10"/>
    <mergeCell ref="I11:J11"/>
    <mergeCell ref="I12:J12"/>
    <mergeCell ref="A17:B17"/>
    <mergeCell ref="I18:J18"/>
    <mergeCell ref="I19:J19"/>
    <mergeCell ref="I20:J20"/>
    <mergeCell ref="I21:J21"/>
    <mergeCell ref="K36:L36"/>
    <mergeCell ref="I37:J37"/>
    <mergeCell ref="I27:J27"/>
    <mergeCell ref="K32:L32"/>
    <mergeCell ref="I24:J24"/>
    <mergeCell ref="I23:J23"/>
    <mergeCell ref="C33:D33"/>
    <mergeCell ref="E33:F33"/>
    <mergeCell ref="G35:J35"/>
    <mergeCell ref="K35:L35"/>
    <mergeCell ref="D27:E27"/>
    <mergeCell ref="H28:L28"/>
    <mergeCell ref="A28:F30"/>
    <mergeCell ref="K29:L29"/>
    <mergeCell ref="G30:H30"/>
    <mergeCell ref="I30:J30"/>
    <mergeCell ref="K30:L30"/>
    <mergeCell ref="G31:H31"/>
    <mergeCell ref="I31:J31"/>
    <mergeCell ref="K31:L31"/>
    <mergeCell ref="A32:B32"/>
    <mergeCell ref="C32:D32"/>
    <mergeCell ref="E32:F32"/>
    <mergeCell ref="K47:L47"/>
    <mergeCell ref="I39:J39"/>
    <mergeCell ref="K39:L39"/>
    <mergeCell ref="I40:J40"/>
    <mergeCell ref="K40:L40"/>
    <mergeCell ref="I41:J41"/>
    <mergeCell ref="I42:J42"/>
    <mergeCell ref="I43:J43"/>
    <mergeCell ref="I44:J44"/>
    <mergeCell ref="I45:J45"/>
    <mergeCell ref="I46:J46"/>
    <mergeCell ref="I47:J47"/>
    <mergeCell ref="I15:J15"/>
    <mergeCell ref="A33:B33"/>
    <mergeCell ref="I16:J16"/>
    <mergeCell ref="I54:J54"/>
    <mergeCell ref="I55:J55"/>
    <mergeCell ref="I48:J48"/>
    <mergeCell ref="I49:J49"/>
    <mergeCell ref="I50:J50"/>
    <mergeCell ref="I51:J51"/>
    <mergeCell ref="I52:J52"/>
    <mergeCell ref="I53:J53"/>
    <mergeCell ref="I38:J38"/>
    <mergeCell ref="I36:J36"/>
    <mergeCell ref="I26:J26"/>
    <mergeCell ref="I17:J17"/>
    <mergeCell ref="I22:J2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44"/>
  <dimension ref="A1:M54"/>
  <sheetViews>
    <sheetView topLeftCell="F1" workbookViewId="0">
      <selection activeCell="H6" sqref="H6:L6"/>
    </sheetView>
  </sheetViews>
  <sheetFormatPr defaultRowHeight="15" x14ac:dyDescent="0.25"/>
  <cols>
    <col min="1" max="1" width="20.7109375" customWidth="1"/>
    <col min="2" max="2" width="15.7109375" customWidth="1"/>
    <col min="3" max="3" width="8.5703125" customWidth="1"/>
    <col min="4" max="4" width="19.140625" customWidth="1"/>
    <col min="5" max="5" width="15" customWidth="1"/>
    <col min="6" max="6" width="15.7109375" customWidth="1"/>
    <col min="7" max="7" width="30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1236</v>
      </c>
      <c r="B1" s="184"/>
      <c r="C1" s="10"/>
      <c r="D1" s="184" t="s">
        <v>55</v>
      </c>
      <c r="E1" s="184"/>
      <c r="F1" s="26" t="s">
        <v>1249</v>
      </c>
      <c r="H1" s="184" t="s">
        <v>1247</v>
      </c>
      <c r="I1" s="184"/>
      <c r="J1" s="184"/>
      <c r="K1" s="184"/>
      <c r="L1" s="184"/>
      <c r="M1" s="184"/>
    </row>
    <row r="2" spans="1:13" ht="18.75" x14ac:dyDescent="0.3">
      <c r="A2" s="184" t="s">
        <v>690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26542.560000000001</v>
      </c>
      <c r="C3" s="11"/>
      <c r="D3" s="5">
        <v>43469</v>
      </c>
      <c r="E3" s="4">
        <v>265.35000000000002</v>
      </c>
      <c r="F3" s="26" t="s">
        <v>1203</v>
      </c>
      <c r="H3" s="6">
        <v>43749</v>
      </c>
      <c r="I3" s="7">
        <v>3102.68</v>
      </c>
      <c r="J3" s="187" t="s">
        <v>875</v>
      </c>
      <c r="K3" s="188"/>
      <c r="L3" s="8" t="s">
        <v>1199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43512</v>
      </c>
      <c r="E4" s="4">
        <v>343.62</v>
      </c>
      <c r="F4" s="26" t="s">
        <v>1204</v>
      </c>
      <c r="H4" s="6">
        <v>43752</v>
      </c>
      <c r="I4" s="7">
        <v>750</v>
      </c>
      <c r="J4" s="187" t="s">
        <v>1206</v>
      </c>
      <c r="K4" s="188"/>
      <c r="L4" s="8" t="s">
        <v>2216</v>
      </c>
      <c r="M4" s="8" t="s">
        <v>268</v>
      </c>
    </row>
    <row r="5" spans="1:13" ht="15.75" x14ac:dyDescent="0.25">
      <c r="A5" s="2" t="s">
        <v>4</v>
      </c>
      <c r="B5" s="3">
        <f>SUM(I36:I54)</f>
        <v>10461.86</v>
      </c>
      <c r="C5" s="11"/>
      <c r="D5" s="5">
        <v>43669</v>
      </c>
      <c r="E5" s="4">
        <v>330.6</v>
      </c>
      <c r="F5" s="26" t="s">
        <v>1205</v>
      </c>
      <c r="H5" s="6">
        <v>43752</v>
      </c>
      <c r="I5" s="7">
        <v>400</v>
      </c>
      <c r="J5" s="187" t="s">
        <v>1212</v>
      </c>
      <c r="K5" s="188"/>
      <c r="L5" s="8" t="s">
        <v>1213</v>
      </c>
      <c r="M5" s="8" t="s">
        <v>267</v>
      </c>
    </row>
    <row r="6" spans="1:13" ht="15.75" x14ac:dyDescent="0.25">
      <c r="A6" s="2"/>
      <c r="B6" s="3"/>
      <c r="C6" s="11"/>
      <c r="D6" s="5">
        <v>43749</v>
      </c>
      <c r="E6" s="4">
        <v>200</v>
      </c>
      <c r="F6" s="26" t="s">
        <v>1207</v>
      </c>
      <c r="H6" s="6">
        <v>43752</v>
      </c>
      <c r="I6" s="7">
        <v>150</v>
      </c>
      <c r="J6" s="187" t="s">
        <v>1211</v>
      </c>
      <c r="K6" s="188"/>
      <c r="L6" s="8" t="s">
        <v>2219</v>
      </c>
      <c r="M6" s="8" t="s">
        <v>268</v>
      </c>
    </row>
    <row r="7" spans="1:13" ht="15.75" x14ac:dyDescent="0.25">
      <c r="A7" s="12" t="s">
        <v>5</v>
      </c>
      <c r="B7" s="25">
        <f>B3+B4-B5</f>
        <v>16080.7</v>
      </c>
      <c r="C7" s="11"/>
      <c r="D7" s="22">
        <v>43725</v>
      </c>
      <c r="E7" s="4">
        <v>44.25</v>
      </c>
      <c r="F7" s="26" t="s">
        <v>1238</v>
      </c>
      <c r="H7" s="6">
        <v>43753</v>
      </c>
      <c r="I7" s="7">
        <v>1500</v>
      </c>
      <c r="J7" s="187" t="s">
        <v>46</v>
      </c>
      <c r="K7" s="188"/>
      <c r="L7" s="8" t="s">
        <v>1144</v>
      </c>
      <c r="M7" s="8" t="s">
        <v>268</v>
      </c>
    </row>
    <row r="8" spans="1:13" ht="15.75" x14ac:dyDescent="0.25">
      <c r="A8" s="2"/>
      <c r="B8" s="3"/>
      <c r="C8" s="11"/>
      <c r="D8" s="22">
        <v>43726</v>
      </c>
      <c r="E8" s="4">
        <v>389.03</v>
      </c>
      <c r="F8" s="26" t="s">
        <v>1230</v>
      </c>
      <c r="H8" s="6">
        <v>43753</v>
      </c>
      <c r="I8" s="7">
        <v>2000</v>
      </c>
      <c r="J8" s="187" t="s">
        <v>139</v>
      </c>
      <c r="K8" s="188"/>
      <c r="L8" s="8" t="s">
        <v>1214</v>
      </c>
      <c r="M8" s="8" t="s">
        <v>268</v>
      </c>
    </row>
    <row r="9" spans="1:13" ht="15.75" x14ac:dyDescent="0.25">
      <c r="A9" s="2"/>
      <c r="B9" s="3"/>
      <c r="C9" s="11"/>
      <c r="D9" s="5">
        <v>43726</v>
      </c>
      <c r="E9" s="4">
        <v>39.89</v>
      </c>
      <c r="F9" s="50" t="s">
        <v>1231</v>
      </c>
      <c r="G9" s="42"/>
      <c r="H9" s="6">
        <v>43754</v>
      </c>
      <c r="I9" s="7">
        <v>350</v>
      </c>
      <c r="J9" s="187" t="s">
        <v>1176</v>
      </c>
      <c r="K9" s="188"/>
      <c r="L9" s="8" t="s">
        <v>2272</v>
      </c>
      <c r="M9" s="8" t="s">
        <v>267</v>
      </c>
    </row>
    <row r="10" spans="1:13" ht="15.75" x14ac:dyDescent="0.25">
      <c r="A10" s="2"/>
      <c r="B10" s="3"/>
      <c r="C10" s="11"/>
      <c r="D10" s="5">
        <v>43726</v>
      </c>
      <c r="E10" s="4">
        <v>35.54</v>
      </c>
      <c r="F10" s="26" t="s">
        <v>1231</v>
      </c>
      <c r="H10" s="6">
        <v>43755</v>
      </c>
      <c r="I10" s="7">
        <v>2000</v>
      </c>
      <c r="J10" s="187" t="s">
        <v>139</v>
      </c>
      <c r="K10" s="188"/>
      <c r="L10" s="8" t="s">
        <v>1214</v>
      </c>
      <c r="M10" s="8" t="s">
        <v>268</v>
      </c>
    </row>
    <row r="11" spans="1:13" ht="15.75" x14ac:dyDescent="0.25">
      <c r="A11" s="2" t="s">
        <v>59</v>
      </c>
      <c r="B11" s="3">
        <f>(B7-B9)/2</f>
        <v>8040.35</v>
      </c>
      <c r="C11" s="11"/>
      <c r="D11" s="22">
        <v>43729</v>
      </c>
      <c r="E11" s="4">
        <v>34.46</v>
      </c>
      <c r="F11" s="26" t="s">
        <v>1231</v>
      </c>
      <c r="H11" s="6">
        <v>43756</v>
      </c>
      <c r="I11" s="7">
        <v>250</v>
      </c>
      <c r="J11" s="187" t="s">
        <v>191</v>
      </c>
      <c r="K11" s="188"/>
      <c r="L11" s="8" t="s">
        <v>1220</v>
      </c>
      <c r="M11" s="8" t="s">
        <v>267</v>
      </c>
    </row>
    <row r="12" spans="1:13" ht="15.75" x14ac:dyDescent="0.25">
      <c r="A12" s="2"/>
      <c r="B12" s="3"/>
      <c r="C12" s="11"/>
      <c r="D12" s="22">
        <v>43729</v>
      </c>
      <c r="E12" s="4">
        <v>11.63</v>
      </c>
      <c r="F12" s="26" t="s">
        <v>1231</v>
      </c>
      <c r="H12" s="6">
        <v>43756</v>
      </c>
      <c r="I12" s="7">
        <v>3513.2</v>
      </c>
      <c r="J12" s="187" t="s">
        <v>1221</v>
      </c>
      <c r="K12" s="188"/>
      <c r="L12" s="8" t="s">
        <v>2222</v>
      </c>
      <c r="M12" s="8" t="s">
        <v>267</v>
      </c>
    </row>
    <row r="13" spans="1:13" ht="15.75" x14ac:dyDescent="0.25">
      <c r="A13" s="2"/>
      <c r="B13" s="3"/>
      <c r="C13" s="11"/>
      <c r="D13" s="22">
        <v>43743</v>
      </c>
      <c r="E13" s="4">
        <v>15.26</v>
      </c>
      <c r="F13" s="26" t="s">
        <v>1231</v>
      </c>
      <c r="H13" s="6">
        <v>43760</v>
      </c>
      <c r="I13" s="7">
        <v>288.63</v>
      </c>
      <c r="J13" s="187" t="s">
        <v>1222</v>
      </c>
      <c r="K13" s="188"/>
      <c r="L13" s="8" t="s">
        <v>1223</v>
      </c>
      <c r="M13" s="8" t="s">
        <v>267</v>
      </c>
    </row>
    <row r="14" spans="1:13" ht="15.75" x14ac:dyDescent="0.25">
      <c r="A14" s="2"/>
      <c r="B14" s="3"/>
      <c r="C14" s="11"/>
      <c r="D14" s="22">
        <v>43744</v>
      </c>
      <c r="E14" s="4">
        <v>9.24</v>
      </c>
      <c r="F14" s="26" t="s">
        <v>1231</v>
      </c>
      <c r="H14" s="6">
        <v>43761</v>
      </c>
      <c r="I14" s="7">
        <v>850</v>
      </c>
      <c r="J14" s="187" t="s">
        <v>46</v>
      </c>
      <c r="K14" s="188"/>
      <c r="L14" s="8" t="s">
        <v>1224</v>
      </c>
      <c r="M14" s="8" t="s">
        <v>268</v>
      </c>
    </row>
    <row r="15" spans="1:13" ht="15.75" x14ac:dyDescent="0.25">
      <c r="A15" s="2"/>
      <c r="B15" s="3"/>
      <c r="C15" s="11"/>
      <c r="D15" s="22">
        <v>43746</v>
      </c>
      <c r="E15" s="4">
        <v>69.900000000000006</v>
      </c>
      <c r="F15" s="26" t="s">
        <v>1232</v>
      </c>
      <c r="H15" s="6">
        <v>43762</v>
      </c>
      <c r="I15" s="7">
        <v>300</v>
      </c>
      <c r="J15" s="187" t="s">
        <v>46</v>
      </c>
      <c r="K15" s="188"/>
      <c r="L15" s="8" t="s">
        <v>1152</v>
      </c>
      <c r="M15" s="8" t="s">
        <v>268</v>
      </c>
    </row>
    <row r="16" spans="1:13" ht="15.75" x14ac:dyDescent="0.25">
      <c r="A16" s="2"/>
      <c r="B16" s="2"/>
      <c r="C16" s="1"/>
      <c r="D16" s="22">
        <v>43724</v>
      </c>
      <c r="E16" s="4">
        <v>218.79</v>
      </c>
      <c r="F16" s="51" t="s">
        <v>1237</v>
      </c>
      <c r="H16" s="6">
        <v>43767</v>
      </c>
      <c r="I16" s="7">
        <v>5000</v>
      </c>
      <c r="J16" s="187" t="s">
        <v>1127</v>
      </c>
      <c r="K16" s="188"/>
      <c r="L16" s="8" t="s">
        <v>1058</v>
      </c>
      <c r="M16" s="8" t="s">
        <v>267</v>
      </c>
    </row>
    <row r="17" spans="1:13" ht="15.75" x14ac:dyDescent="0.25">
      <c r="A17" s="198" t="s">
        <v>56</v>
      </c>
      <c r="B17" s="198"/>
      <c r="C17" s="1"/>
      <c r="D17" s="22">
        <v>43748</v>
      </c>
      <c r="E17" s="21">
        <v>22.65</v>
      </c>
      <c r="F17" s="26" t="s">
        <v>1231</v>
      </c>
      <c r="H17" s="6">
        <v>43767</v>
      </c>
      <c r="I17" s="7">
        <v>488.05</v>
      </c>
      <c r="J17" s="187" t="s">
        <v>1225</v>
      </c>
      <c r="K17" s="188"/>
      <c r="L17" s="8" t="s">
        <v>1226</v>
      </c>
      <c r="M17" s="8" t="s">
        <v>267</v>
      </c>
    </row>
    <row r="18" spans="1:13" ht="15.75" x14ac:dyDescent="0.25">
      <c r="A18" s="2"/>
      <c r="B18" s="3"/>
      <c r="C18" s="1"/>
      <c r="D18" s="22">
        <v>43777</v>
      </c>
      <c r="E18" s="4">
        <v>100</v>
      </c>
      <c r="F18" s="2" t="s">
        <v>1207</v>
      </c>
      <c r="H18" s="6">
        <v>43768</v>
      </c>
      <c r="I18" s="7">
        <v>200</v>
      </c>
      <c r="J18" s="187" t="s">
        <v>1228</v>
      </c>
      <c r="K18" s="188"/>
      <c r="L18" s="8" t="s">
        <v>2232</v>
      </c>
      <c r="M18" s="8" t="s">
        <v>267</v>
      </c>
    </row>
    <row r="19" spans="1:13" ht="15.75" x14ac:dyDescent="0.25">
      <c r="A19" s="2" t="s">
        <v>57</v>
      </c>
      <c r="B19" s="3">
        <f>B11-E25</f>
        <v>5910.1399999999994</v>
      </c>
      <c r="C19" s="1"/>
      <c r="D19" s="5"/>
      <c r="E19" s="4"/>
      <c r="F19" s="26"/>
      <c r="H19" s="6">
        <v>43768</v>
      </c>
      <c r="I19" s="7">
        <v>2000</v>
      </c>
      <c r="J19" s="187" t="s">
        <v>46</v>
      </c>
      <c r="K19" s="188"/>
      <c r="L19" s="8" t="s">
        <v>1229</v>
      </c>
      <c r="M19" s="8" t="s">
        <v>268</v>
      </c>
    </row>
    <row r="20" spans="1:13" ht="15.75" x14ac:dyDescent="0.25">
      <c r="A20" s="2" t="s">
        <v>12</v>
      </c>
      <c r="B20" s="3">
        <f>B11</f>
        <v>8040.35</v>
      </c>
      <c r="C20" s="1"/>
      <c r="D20" s="5"/>
      <c r="E20" s="4"/>
      <c r="F20" s="26"/>
      <c r="H20" s="6">
        <v>43769</v>
      </c>
      <c r="I20" s="7">
        <v>400</v>
      </c>
      <c r="J20" s="187" t="s">
        <v>165</v>
      </c>
      <c r="K20" s="188"/>
      <c r="L20" s="8" t="s">
        <v>570</v>
      </c>
      <c r="M20" s="8" t="s">
        <v>268</v>
      </c>
    </row>
    <row r="21" spans="1:13" ht="15.75" x14ac:dyDescent="0.25">
      <c r="A21" s="2"/>
      <c r="B21" s="2"/>
      <c r="C21" s="1"/>
      <c r="D21" s="5"/>
      <c r="E21" s="4"/>
      <c r="F21" s="26"/>
      <c r="H21" s="6">
        <v>43773</v>
      </c>
      <c r="I21" s="7">
        <v>800</v>
      </c>
      <c r="J21" s="187" t="s">
        <v>868</v>
      </c>
      <c r="K21" s="188"/>
      <c r="L21" s="8" t="s">
        <v>1190</v>
      </c>
      <c r="M21" s="8" t="s">
        <v>268</v>
      </c>
    </row>
    <row r="22" spans="1:13" ht="15.75" x14ac:dyDescent="0.25">
      <c r="A22" s="2"/>
      <c r="B22" s="2"/>
      <c r="C22" s="1"/>
      <c r="D22" s="22"/>
      <c r="E22" s="4"/>
      <c r="F22" s="26"/>
      <c r="H22" s="6">
        <v>43775</v>
      </c>
      <c r="I22" s="7">
        <v>200</v>
      </c>
      <c r="J22" s="36" t="s">
        <v>1176</v>
      </c>
      <c r="K22" s="37"/>
      <c r="L22" s="8" t="s">
        <v>2272</v>
      </c>
      <c r="M22" s="8" t="s">
        <v>267</v>
      </c>
    </row>
    <row r="23" spans="1:13" ht="15.75" x14ac:dyDescent="0.25">
      <c r="A23" s="1"/>
      <c r="B23" s="1"/>
      <c r="C23" s="1"/>
      <c r="D23" s="22"/>
      <c r="E23" s="4"/>
      <c r="F23" s="2"/>
      <c r="G23" s="1"/>
      <c r="H23" s="6">
        <v>43775</v>
      </c>
      <c r="I23" s="7">
        <v>500</v>
      </c>
      <c r="J23" s="36" t="s">
        <v>875</v>
      </c>
      <c r="K23" s="37"/>
      <c r="L23" s="8" t="s">
        <v>1135</v>
      </c>
      <c r="M23" s="8" t="s">
        <v>268</v>
      </c>
    </row>
    <row r="24" spans="1:13" ht="15.75" x14ac:dyDescent="0.25">
      <c r="A24" s="196"/>
      <c r="B24" s="196"/>
      <c r="C24" s="1"/>
      <c r="D24" s="22"/>
      <c r="E24" s="4"/>
      <c r="F24" s="2"/>
      <c r="G24" s="1"/>
      <c r="H24" s="6">
        <v>43776</v>
      </c>
      <c r="I24" s="7">
        <v>1500</v>
      </c>
      <c r="J24" s="187" t="s">
        <v>875</v>
      </c>
      <c r="K24" s="188"/>
      <c r="L24" s="8" t="s">
        <v>860</v>
      </c>
      <c r="M24" s="8" t="s">
        <v>268</v>
      </c>
    </row>
    <row r="25" spans="1:13" ht="15.75" x14ac:dyDescent="0.25">
      <c r="A25" s="1"/>
      <c r="B25" s="1"/>
      <c r="C25" s="1"/>
      <c r="D25" s="12" t="s">
        <v>23</v>
      </c>
      <c r="E25" s="24">
        <f>SUM(E3:E24)</f>
        <v>2130.2100000000005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26542.560000000001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1248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43779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43758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43722</v>
      </c>
      <c r="I38" s="4">
        <v>74.95</v>
      </c>
      <c r="J38" s="182" t="s">
        <v>1202</v>
      </c>
      <c r="K38" s="183"/>
      <c r="L38" s="180"/>
      <c r="M38" s="180"/>
    </row>
    <row r="39" spans="1:13" ht="15.75" x14ac:dyDescent="0.25">
      <c r="H39" s="6">
        <v>43768</v>
      </c>
      <c r="I39" s="4">
        <v>6000</v>
      </c>
      <c r="J39" s="182" t="s">
        <v>1200</v>
      </c>
      <c r="K39" s="183"/>
      <c r="L39" s="180"/>
      <c r="M39" s="180"/>
    </row>
    <row r="40" spans="1:13" ht="15.75" x14ac:dyDescent="0.25">
      <c r="H40" s="6">
        <v>43688</v>
      </c>
      <c r="I40" s="35">
        <v>294.75</v>
      </c>
      <c r="J40" s="182" t="s">
        <v>1201</v>
      </c>
      <c r="K40" s="183"/>
    </row>
    <row r="41" spans="1:13" ht="15.75" x14ac:dyDescent="0.25">
      <c r="H41" s="6">
        <v>43754</v>
      </c>
      <c r="I41" s="7">
        <v>600</v>
      </c>
      <c r="J41" s="182" t="s">
        <v>1215</v>
      </c>
      <c r="K41" s="183"/>
    </row>
    <row r="42" spans="1:13" ht="15.75" x14ac:dyDescent="0.25">
      <c r="H42" s="6">
        <v>43754</v>
      </c>
      <c r="I42" s="7">
        <v>400</v>
      </c>
      <c r="J42" s="182" t="s">
        <v>1216</v>
      </c>
      <c r="K42" s="183"/>
    </row>
    <row r="43" spans="1:13" ht="15.75" x14ac:dyDescent="0.25">
      <c r="H43" s="6">
        <v>43755</v>
      </c>
      <c r="I43" s="35">
        <v>30</v>
      </c>
      <c r="J43" s="182" t="s">
        <v>1219</v>
      </c>
      <c r="K43" s="183"/>
    </row>
    <row r="44" spans="1:13" ht="15.75" x14ac:dyDescent="0.25">
      <c r="H44" s="6">
        <v>43756</v>
      </c>
      <c r="I44" s="35">
        <v>116.08</v>
      </c>
      <c r="J44" s="182" t="s">
        <v>1217</v>
      </c>
      <c r="K44" s="183"/>
    </row>
    <row r="45" spans="1:13" ht="15.75" x14ac:dyDescent="0.25">
      <c r="H45" s="6">
        <v>43756</v>
      </c>
      <c r="I45" s="35">
        <v>116.08</v>
      </c>
      <c r="J45" s="182" t="s">
        <v>1218</v>
      </c>
      <c r="K45" s="183"/>
    </row>
    <row r="46" spans="1:13" ht="15.75" x14ac:dyDescent="0.25">
      <c r="H46" s="6">
        <v>43767</v>
      </c>
      <c r="I46" s="35">
        <v>180</v>
      </c>
      <c r="J46" s="182" t="s">
        <v>1227</v>
      </c>
      <c r="K46" s="183"/>
      <c r="L46" s="204"/>
      <c r="M46" s="205"/>
    </row>
    <row r="47" spans="1:13" ht="15.75" x14ac:dyDescent="0.25">
      <c r="H47" s="6">
        <v>43767</v>
      </c>
      <c r="I47" s="35">
        <v>60</v>
      </c>
      <c r="J47" s="182" t="s">
        <v>402</v>
      </c>
      <c r="K47" s="183"/>
    </row>
    <row r="48" spans="1:13" ht="15.75" x14ac:dyDescent="0.25">
      <c r="H48" s="6">
        <v>43758</v>
      </c>
      <c r="I48" s="35">
        <v>100</v>
      </c>
      <c r="J48" s="208" t="s">
        <v>1233</v>
      </c>
      <c r="K48" s="208"/>
    </row>
    <row r="49" spans="8:11" ht="15.75" x14ac:dyDescent="0.25">
      <c r="H49" s="6">
        <v>43773</v>
      </c>
      <c r="I49" s="4">
        <v>40</v>
      </c>
      <c r="J49" s="208" t="s">
        <v>1234</v>
      </c>
      <c r="K49" s="208"/>
    </row>
    <row r="50" spans="8:11" ht="15.75" x14ac:dyDescent="0.25">
      <c r="H50" s="6">
        <v>43775</v>
      </c>
      <c r="I50" s="4">
        <v>50</v>
      </c>
      <c r="J50" s="182" t="s">
        <v>1235</v>
      </c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3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J18:K18"/>
    <mergeCell ref="J20:K20"/>
    <mergeCell ref="J21:K21"/>
    <mergeCell ref="J19:K19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45"/>
  <dimension ref="A1:M54"/>
  <sheetViews>
    <sheetView topLeftCell="F4" workbookViewId="0">
      <selection activeCell="H6" sqref="H6:L6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1244</v>
      </c>
      <c r="B1" s="184"/>
      <c r="C1" s="10"/>
      <c r="D1" s="184" t="s">
        <v>55</v>
      </c>
      <c r="E1" s="184"/>
      <c r="F1" s="26" t="s">
        <v>1249</v>
      </c>
      <c r="H1" s="184" t="s">
        <v>1245</v>
      </c>
      <c r="I1" s="184"/>
      <c r="J1" s="184"/>
      <c r="K1" s="184"/>
      <c r="L1" s="184"/>
      <c r="M1" s="184"/>
    </row>
    <row r="2" spans="1:13" ht="18.75" x14ac:dyDescent="0.3">
      <c r="A2" s="184" t="s">
        <v>739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27735.280000000002</v>
      </c>
      <c r="C3" s="11"/>
      <c r="D3" s="5">
        <v>43469</v>
      </c>
      <c r="E3" s="4">
        <v>265.35000000000002</v>
      </c>
      <c r="F3" s="26" t="s">
        <v>1240</v>
      </c>
      <c r="H3" s="6">
        <v>43780</v>
      </c>
      <c r="I3" s="7">
        <v>100</v>
      </c>
      <c r="J3" s="187" t="s">
        <v>1250</v>
      </c>
      <c r="K3" s="188"/>
      <c r="L3" s="8" t="s">
        <v>304</v>
      </c>
      <c r="M3" s="8" t="s">
        <v>267</v>
      </c>
    </row>
    <row r="4" spans="1:13" ht="15.75" x14ac:dyDescent="0.25">
      <c r="A4" s="2" t="s">
        <v>3</v>
      </c>
      <c r="B4" s="3"/>
      <c r="C4" s="11"/>
      <c r="D4" s="5">
        <v>43669</v>
      </c>
      <c r="E4" s="4">
        <v>330.6</v>
      </c>
      <c r="F4" s="26" t="s">
        <v>1241</v>
      </c>
      <c r="H4" s="6">
        <v>43780</v>
      </c>
      <c r="I4" s="7">
        <v>350</v>
      </c>
      <c r="J4" s="187" t="s">
        <v>763</v>
      </c>
      <c r="K4" s="188"/>
      <c r="L4" s="8" t="s">
        <v>950</v>
      </c>
      <c r="M4" s="8" t="s">
        <v>267</v>
      </c>
    </row>
    <row r="5" spans="1:13" ht="15.75" x14ac:dyDescent="0.25">
      <c r="A5" s="2" t="s">
        <v>4</v>
      </c>
      <c r="B5" s="3">
        <f>SUM(I36:I54)</f>
        <v>19305.310000000005</v>
      </c>
      <c r="C5" s="11"/>
      <c r="D5" s="22">
        <v>43725</v>
      </c>
      <c r="E5" s="4">
        <v>44.25</v>
      </c>
      <c r="F5" s="26" t="s">
        <v>1242</v>
      </c>
      <c r="H5" s="6">
        <v>43780</v>
      </c>
      <c r="I5" s="7">
        <v>1500</v>
      </c>
      <c r="J5" s="187" t="s">
        <v>46</v>
      </c>
      <c r="K5" s="188"/>
      <c r="L5" s="8" t="s">
        <v>1144</v>
      </c>
      <c r="M5" s="8" t="s">
        <v>268</v>
      </c>
    </row>
    <row r="6" spans="1:13" ht="15.75" x14ac:dyDescent="0.25">
      <c r="A6" s="2"/>
      <c r="B6" s="3"/>
      <c r="C6" s="11"/>
      <c r="D6" s="22">
        <v>43746</v>
      </c>
      <c r="E6" s="4">
        <v>69.900000000000006</v>
      </c>
      <c r="F6" s="26" t="s">
        <v>1243</v>
      </c>
      <c r="H6" s="6">
        <v>43780</v>
      </c>
      <c r="I6" s="7">
        <v>2000</v>
      </c>
      <c r="J6" s="187" t="s">
        <v>1254</v>
      </c>
      <c r="K6" s="188"/>
      <c r="L6" s="8" t="s">
        <v>2214</v>
      </c>
      <c r="M6" s="8" t="s">
        <v>267</v>
      </c>
    </row>
    <row r="7" spans="1:13" ht="15.75" x14ac:dyDescent="0.25">
      <c r="A7" s="12" t="s">
        <v>5</v>
      </c>
      <c r="B7" s="25">
        <f>B3+B4-B5</f>
        <v>8429.9699999999975</v>
      </c>
      <c r="C7" s="11"/>
      <c r="D7" s="22">
        <v>43760</v>
      </c>
      <c r="E7" s="4">
        <v>182.49</v>
      </c>
      <c r="F7" s="52" t="s">
        <v>1283</v>
      </c>
      <c r="H7" s="6">
        <v>43781</v>
      </c>
      <c r="I7" s="7">
        <v>1924.2</v>
      </c>
      <c r="J7" s="187" t="s">
        <v>1267</v>
      </c>
      <c r="K7" s="188"/>
      <c r="L7" s="8" t="s">
        <v>1226</v>
      </c>
      <c r="M7" s="8" t="s">
        <v>267</v>
      </c>
    </row>
    <row r="8" spans="1:13" ht="15.75" x14ac:dyDescent="0.25">
      <c r="A8" s="2"/>
      <c r="B8" s="3"/>
      <c r="C8" s="11"/>
      <c r="D8" s="22">
        <v>43761</v>
      </c>
      <c r="E8" s="4">
        <v>9.52</v>
      </c>
      <c r="F8" s="26" t="s">
        <v>1231</v>
      </c>
      <c r="H8" s="6">
        <v>43782</v>
      </c>
      <c r="I8" s="7">
        <v>1000</v>
      </c>
      <c r="J8" s="187" t="s">
        <v>1252</v>
      </c>
      <c r="K8" s="188"/>
      <c r="L8" s="8" t="s">
        <v>1253</v>
      </c>
      <c r="M8" s="8" t="s">
        <v>267</v>
      </c>
    </row>
    <row r="9" spans="1:13" ht="15.75" x14ac:dyDescent="0.25">
      <c r="A9" s="2"/>
      <c r="B9" s="3"/>
      <c r="C9" s="11"/>
      <c r="D9" s="5">
        <v>43764</v>
      </c>
      <c r="E9" s="4">
        <v>19</v>
      </c>
      <c r="F9" s="50" t="s">
        <v>1231</v>
      </c>
      <c r="G9" s="42"/>
      <c r="H9" s="6">
        <v>43787</v>
      </c>
      <c r="I9" s="7">
        <v>7000</v>
      </c>
      <c r="J9" s="187" t="s">
        <v>1255</v>
      </c>
      <c r="K9" s="188"/>
      <c r="L9" s="8" t="s">
        <v>2220</v>
      </c>
      <c r="M9" s="8" t="s">
        <v>267</v>
      </c>
    </row>
    <row r="10" spans="1:13" ht="15.75" x14ac:dyDescent="0.25">
      <c r="A10" s="2"/>
      <c r="B10" s="3"/>
      <c r="C10" s="11"/>
      <c r="D10" s="5">
        <v>43764</v>
      </c>
      <c r="E10" s="4">
        <v>6.4</v>
      </c>
      <c r="F10" s="26" t="s">
        <v>1231</v>
      </c>
      <c r="H10" s="6">
        <v>43790</v>
      </c>
      <c r="I10" s="7">
        <v>200</v>
      </c>
      <c r="J10" s="187" t="s">
        <v>1258</v>
      </c>
      <c r="K10" s="188"/>
      <c r="L10" s="8" t="s">
        <v>1259</v>
      </c>
      <c r="M10" s="8" t="s">
        <v>267</v>
      </c>
    </row>
    <row r="11" spans="1:13" ht="15.75" x14ac:dyDescent="0.25">
      <c r="A11" s="2" t="s">
        <v>59</v>
      </c>
      <c r="B11" s="3">
        <f>(B7-B9)/2</f>
        <v>4214.9849999999988</v>
      </c>
      <c r="C11" s="11"/>
      <c r="D11" s="22">
        <v>43767</v>
      </c>
      <c r="E11" s="4">
        <v>7.4</v>
      </c>
      <c r="F11" s="26" t="s">
        <v>1281</v>
      </c>
      <c r="H11" s="6">
        <v>43791</v>
      </c>
      <c r="I11" s="7">
        <v>1800</v>
      </c>
      <c r="J11" s="187" t="s">
        <v>1285</v>
      </c>
      <c r="K11" s="188"/>
      <c r="L11" s="8" t="s">
        <v>2220</v>
      </c>
      <c r="M11" s="8" t="s">
        <v>268</v>
      </c>
    </row>
    <row r="12" spans="1:13" ht="15.75" x14ac:dyDescent="0.25">
      <c r="A12" s="2"/>
      <c r="B12" s="3"/>
      <c r="C12" s="11"/>
      <c r="D12" s="22">
        <v>43772</v>
      </c>
      <c r="E12" s="4">
        <v>206.91</v>
      </c>
      <c r="F12" s="26" t="s">
        <v>1282</v>
      </c>
      <c r="H12" s="6">
        <v>43791</v>
      </c>
      <c r="I12" s="7">
        <v>1443.15</v>
      </c>
      <c r="J12" s="187" t="s">
        <v>1261</v>
      </c>
      <c r="K12" s="188"/>
      <c r="L12" s="8" t="s">
        <v>768</v>
      </c>
      <c r="M12" s="8" t="s">
        <v>268</v>
      </c>
    </row>
    <row r="13" spans="1:13" ht="15.75" x14ac:dyDescent="0.25">
      <c r="A13" s="2"/>
      <c r="B13" s="3"/>
      <c r="C13" s="11"/>
      <c r="D13" s="22">
        <v>43778</v>
      </c>
      <c r="E13" s="4">
        <v>163.93</v>
      </c>
      <c r="F13" s="26" t="s">
        <v>1284</v>
      </c>
      <c r="H13" s="6">
        <v>43796</v>
      </c>
      <c r="I13" s="7">
        <v>5000</v>
      </c>
      <c r="J13" s="187" t="s">
        <v>1127</v>
      </c>
      <c r="K13" s="188"/>
      <c r="L13" s="8" t="s">
        <v>1058</v>
      </c>
      <c r="M13" s="8" t="s">
        <v>267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43802</v>
      </c>
      <c r="I14" s="7">
        <v>755</v>
      </c>
      <c r="J14" s="187" t="s">
        <v>855</v>
      </c>
      <c r="K14" s="188"/>
      <c r="L14" s="8" t="s">
        <v>1190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43804</v>
      </c>
      <c r="I15" s="7">
        <v>500</v>
      </c>
      <c r="J15" s="187" t="s">
        <v>46</v>
      </c>
      <c r="K15" s="188"/>
      <c r="L15" s="8" t="s">
        <v>1051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51"/>
      <c r="H16" s="6">
        <v>43805</v>
      </c>
      <c r="I16" s="7">
        <v>585.66</v>
      </c>
      <c r="J16" s="187" t="s">
        <v>1266</v>
      </c>
      <c r="K16" s="188"/>
      <c r="L16" s="8" t="s">
        <v>1264</v>
      </c>
      <c r="M16" s="8" t="s">
        <v>267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43805</v>
      </c>
      <c r="I17" s="7">
        <v>865.89</v>
      </c>
      <c r="J17" s="187" t="s">
        <v>1265</v>
      </c>
      <c r="K17" s="188"/>
      <c r="L17" s="8" t="s">
        <v>1264</v>
      </c>
      <c r="M17" s="8" t="s">
        <v>267</v>
      </c>
    </row>
    <row r="18" spans="1:13" ht="15.75" x14ac:dyDescent="0.25">
      <c r="A18" s="2"/>
      <c r="B18" s="3"/>
      <c r="C18" s="1"/>
      <c r="D18" s="22"/>
      <c r="E18" s="4"/>
      <c r="F18" s="2"/>
      <c r="H18" s="6">
        <v>43808</v>
      </c>
      <c r="I18" s="7">
        <v>350</v>
      </c>
      <c r="J18" s="187" t="s">
        <v>763</v>
      </c>
      <c r="K18" s="188"/>
      <c r="L18" s="8" t="s">
        <v>950</v>
      </c>
      <c r="M18" s="8" t="s">
        <v>267</v>
      </c>
    </row>
    <row r="19" spans="1:13" ht="15.75" x14ac:dyDescent="0.25">
      <c r="A19" s="2" t="s">
        <v>57</v>
      </c>
      <c r="B19" s="3">
        <f>B11-E25</f>
        <v>2909.2349999999988</v>
      </c>
      <c r="C19" s="1"/>
      <c r="D19" s="5"/>
      <c r="E19" s="4"/>
      <c r="F19" s="26"/>
      <c r="H19" s="6">
        <v>43809</v>
      </c>
      <c r="I19" s="7">
        <v>292.83</v>
      </c>
      <c r="J19" s="187" t="s">
        <v>1268</v>
      </c>
      <c r="K19" s="188"/>
      <c r="L19" s="8" t="s">
        <v>1269</v>
      </c>
      <c r="M19" s="8" t="s">
        <v>267</v>
      </c>
    </row>
    <row r="20" spans="1:13" ht="15.75" x14ac:dyDescent="0.25">
      <c r="A20" s="2" t="s">
        <v>12</v>
      </c>
      <c r="B20" s="3">
        <f>B11</f>
        <v>4214.9849999999988</v>
      </c>
      <c r="C20" s="1"/>
      <c r="D20" s="5"/>
      <c r="E20" s="4"/>
      <c r="F20" s="26"/>
      <c r="H20" s="6">
        <v>43809</v>
      </c>
      <c r="I20" s="7">
        <v>68.55</v>
      </c>
      <c r="J20" s="187" t="s">
        <v>875</v>
      </c>
      <c r="K20" s="188"/>
      <c r="L20" s="8" t="s">
        <v>1270</v>
      </c>
      <c r="M20" s="8" t="s">
        <v>268</v>
      </c>
    </row>
    <row r="21" spans="1:13" ht="15.75" x14ac:dyDescent="0.25">
      <c r="A21" s="2"/>
      <c r="B21" s="2"/>
      <c r="C21" s="1"/>
      <c r="D21" s="5"/>
      <c r="E21" s="4"/>
      <c r="F21" s="26"/>
      <c r="H21" s="6">
        <v>43809</v>
      </c>
      <c r="I21" s="7">
        <v>2000</v>
      </c>
      <c r="J21" s="187" t="s">
        <v>46</v>
      </c>
      <c r="K21" s="188"/>
      <c r="L21" s="8" t="s">
        <v>1145</v>
      </c>
      <c r="M21" s="8" t="s">
        <v>268</v>
      </c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1305.75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27735.280000000002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1246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43808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43789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43799</v>
      </c>
      <c r="I38" s="4">
        <v>6000</v>
      </c>
      <c r="J38" s="182" t="s">
        <v>1239</v>
      </c>
      <c r="K38" s="183"/>
      <c r="L38" s="180"/>
      <c r="M38" s="180"/>
    </row>
    <row r="39" spans="1:13" ht="15.75" x14ac:dyDescent="0.25">
      <c r="H39" s="6">
        <v>43781</v>
      </c>
      <c r="I39" s="4">
        <v>122.11</v>
      </c>
      <c r="J39" s="182" t="s">
        <v>262</v>
      </c>
      <c r="K39" s="183"/>
      <c r="L39" s="180"/>
      <c r="M39" s="180"/>
    </row>
    <row r="40" spans="1:13" ht="15.75" x14ac:dyDescent="0.25">
      <c r="H40" s="6">
        <v>43781</v>
      </c>
      <c r="I40" s="35">
        <v>100</v>
      </c>
      <c r="J40" s="182" t="s">
        <v>1251</v>
      </c>
      <c r="K40" s="183"/>
    </row>
    <row r="41" spans="1:13" ht="15.75" x14ac:dyDescent="0.25">
      <c r="H41" s="6">
        <v>43788</v>
      </c>
      <c r="I41" s="7">
        <v>7500</v>
      </c>
      <c r="J41" s="182" t="s">
        <v>1256</v>
      </c>
      <c r="K41" s="183"/>
    </row>
    <row r="42" spans="1:13" ht="15.75" x14ac:dyDescent="0.25">
      <c r="H42" s="6">
        <v>43789</v>
      </c>
      <c r="I42" s="7">
        <v>123.81</v>
      </c>
      <c r="J42" s="182" t="s">
        <v>1257</v>
      </c>
      <c r="K42" s="183"/>
    </row>
    <row r="43" spans="1:13" ht="15.75" x14ac:dyDescent="0.25">
      <c r="H43" s="6">
        <v>43795</v>
      </c>
      <c r="I43" s="35">
        <v>2334.09</v>
      </c>
      <c r="J43" s="182" t="s">
        <v>1260</v>
      </c>
      <c r="K43" s="183"/>
    </row>
    <row r="44" spans="1:13" ht="15.75" x14ac:dyDescent="0.25">
      <c r="H44" s="6">
        <v>43803</v>
      </c>
      <c r="I44" s="35">
        <v>280</v>
      </c>
      <c r="J44" s="182" t="s">
        <v>1262</v>
      </c>
      <c r="K44" s="183"/>
    </row>
    <row r="45" spans="1:13" ht="15.75" x14ac:dyDescent="0.25">
      <c r="H45" s="6">
        <v>43804</v>
      </c>
      <c r="I45" s="35">
        <v>170.93</v>
      </c>
      <c r="J45" s="182" t="s">
        <v>1263</v>
      </c>
      <c r="K45" s="183"/>
    </row>
    <row r="46" spans="1:13" ht="15.75" x14ac:dyDescent="0.25">
      <c r="H46" s="6">
        <v>43808</v>
      </c>
      <c r="I46" s="35">
        <v>158.29</v>
      </c>
      <c r="J46" s="182" t="s">
        <v>145</v>
      </c>
      <c r="K46" s="183"/>
      <c r="L46" s="204"/>
      <c r="M46" s="205"/>
    </row>
    <row r="47" spans="1:13" ht="15.75" x14ac:dyDescent="0.25">
      <c r="H47" s="6">
        <v>43808</v>
      </c>
      <c r="I47" s="35">
        <v>116.08</v>
      </c>
      <c r="J47" s="182" t="s">
        <v>262</v>
      </c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A1:B1"/>
    <mergeCell ref="D1:E1"/>
    <mergeCell ref="H1:M1"/>
    <mergeCell ref="A2:B2"/>
    <mergeCell ref="D2:E2"/>
    <mergeCell ref="J2:K2"/>
    <mergeCell ref="J14:K14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26:K26"/>
    <mergeCell ref="J15:K15"/>
    <mergeCell ref="A17:B17"/>
    <mergeCell ref="J20:K20"/>
    <mergeCell ref="J21:K21"/>
    <mergeCell ref="A24:B24"/>
    <mergeCell ref="J24:K24"/>
    <mergeCell ref="J25:K25"/>
    <mergeCell ref="J22:K22"/>
    <mergeCell ref="J23:K23"/>
    <mergeCell ref="J18:K18"/>
    <mergeCell ref="J16:K16"/>
    <mergeCell ref="J17:K17"/>
    <mergeCell ref="J19:K19"/>
    <mergeCell ref="D27:E27"/>
    <mergeCell ref="I27:M27"/>
    <mergeCell ref="A28:F30"/>
    <mergeCell ref="L28:M28"/>
    <mergeCell ref="H29:I29"/>
    <mergeCell ref="J29:K29"/>
    <mergeCell ref="L29:M29"/>
    <mergeCell ref="H30:I30"/>
    <mergeCell ref="J30:K30"/>
    <mergeCell ref="L30:M30"/>
    <mergeCell ref="J37:K37"/>
    <mergeCell ref="L31:M31"/>
    <mergeCell ref="A32:B32"/>
    <mergeCell ref="C32:D32"/>
    <mergeCell ref="E32:F32"/>
    <mergeCell ref="A33:B33"/>
    <mergeCell ref="C33:D33"/>
    <mergeCell ref="E33:F33"/>
    <mergeCell ref="H34:K34"/>
    <mergeCell ref="L34:M34"/>
    <mergeCell ref="J35:K35"/>
    <mergeCell ref="L35:M35"/>
    <mergeCell ref="J36:K36"/>
    <mergeCell ref="L46:M46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J45:K45"/>
    <mergeCell ref="J46:K46"/>
    <mergeCell ref="J53:K53"/>
    <mergeCell ref="J54:K54"/>
    <mergeCell ref="J47:K47"/>
    <mergeCell ref="J48:K48"/>
    <mergeCell ref="J49:K49"/>
    <mergeCell ref="J50:K50"/>
    <mergeCell ref="J51:K51"/>
    <mergeCell ref="J52:K5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46"/>
  <dimension ref="A1:M54"/>
  <sheetViews>
    <sheetView topLeftCell="H1" workbookViewId="0">
      <selection activeCell="H4" sqref="H4:L4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1271</v>
      </c>
      <c r="B1" s="184"/>
      <c r="C1" s="10"/>
      <c r="D1" s="184" t="s">
        <v>55</v>
      </c>
      <c r="E1" s="184"/>
      <c r="F1" s="26" t="s">
        <v>1249</v>
      </c>
      <c r="H1" s="184" t="s">
        <v>917</v>
      </c>
      <c r="I1" s="184"/>
      <c r="J1" s="184"/>
      <c r="K1" s="184"/>
      <c r="L1" s="184"/>
      <c r="M1" s="184"/>
    </row>
    <row r="2" spans="1:13" ht="18.75" x14ac:dyDescent="0.3">
      <c r="A2" s="184" t="s">
        <v>313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19044.38</v>
      </c>
      <c r="C3" s="11"/>
      <c r="D3" s="5">
        <v>43469</v>
      </c>
      <c r="E3" s="4">
        <v>265.35000000000002</v>
      </c>
      <c r="F3" s="26" t="s">
        <v>1272</v>
      </c>
      <c r="H3" s="6">
        <v>43811</v>
      </c>
      <c r="I3" s="7">
        <v>2544.38</v>
      </c>
      <c r="J3" s="187" t="s">
        <v>1274</v>
      </c>
      <c r="K3" s="188"/>
      <c r="L3" s="8" t="s">
        <v>203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43746</v>
      </c>
      <c r="E4" s="4">
        <v>69.900000000000006</v>
      </c>
      <c r="F4" s="26" t="s">
        <v>1273</v>
      </c>
      <c r="H4" s="6">
        <v>43811</v>
      </c>
      <c r="I4" s="7">
        <v>2000</v>
      </c>
      <c r="J4" s="187" t="s">
        <v>1280</v>
      </c>
      <c r="K4" s="188"/>
      <c r="L4" s="8" t="s">
        <v>2214</v>
      </c>
      <c r="M4" s="8" t="s">
        <v>267</v>
      </c>
    </row>
    <row r="5" spans="1:13" ht="15.75" x14ac:dyDescent="0.25">
      <c r="A5" s="2" t="s">
        <v>4</v>
      </c>
      <c r="B5" s="3">
        <f>SUM(I36:I54)</f>
        <v>15166.04</v>
      </c>
      <c r="C5" s="11"/>
      <c r="D5" s="22">
        <v>43836</v>
      </c>
      <c r="E5" s="4">
        <v>1339.67</v>
      </c>
      <c r="F5" s="26" t="s">
        <v>1291</v>
      </c>
      <c r="H5" s="6">
        <v>43812</v>
      </c>
      <c r="I5" s="7">
        <v>1000</v>
      </c>
      <c r="J5" s="187" t="s">
        <v>1277</v>
      </c>
      <c r="K5" s="188"/>
      <c r="L5" s="8" t="s">
        <v>1278</v>
      </c>
      <c r="M5" s="8" t="s">
        <v>267</v>
      </c>
    </row>
    <row r="6" spans="1:13" ht="15.75" x14ac:dyDescent="0.25">
      <c r="A6" s="2"/>
      <c r="B6" s="3"/>
      <c r="C6" s="11"/>
      <c r="D6" s="22">
        <v>43778</v>
      </c>
      <c r="E6" s="4">
        <v>163.93</v>
      </c>
      <c r="F6" s="26" t="s">
        <v>1315</v>
      </c>
      <c r="H6" s="6">
        <v>43815</v>
      </c>
      <c r="I6" s="7">
        <v>600</v>
      </c>
      <c r="J6" s="187" t="s">
        <v>1286</v>
      </c>
      <c r="K6" s="188"/>
      <c r="L6" s="8" t="s">
        <v>304</v>
      </c>
      <c r="M6" s="8" t="s">
        <v>267</v>
      </c>
    </row>
    <row r="7" spans="1:13" ht="15.75" x14ac:dyDescent="0.25">
      <c r="A7" s="12" t="s">
        <v>5</v>
      </c>
      <c r="B7" s="25">
        <f>B3+B4-B5</f>
        <v>3878.34</v>
      </c>
      <c r="C7" s="11"/>
      <c r="D7" s="22">
        <v>43788</v>
      </c>
      <c r="E7" s="4">
        <v>11</v>
      </c>
      <c r="F7" s="26" t="s">
        <v>1231</v>
      </c>
      <c r="H7" s="6">
        <v>43815</v>
      </c>
      <c r="I7" s="7">
        <v>50</v>
      </c>
      <c r="J7" s="187" t="s">
        <v>1288</v>
      </c>
      <c r="K7" s="188"/>
      <c r="L7" s="8" t="s">
        <v>786</v>
      </c>
      <c r="M7" s="8" t="s">
        <v>268</v>
      </c>
    </row>
    <row r="8" spans="1:13" ht="15.75" x14ac:dyDescent="0.25">
      <c r="A8" s="2"/>
      <c r="B8" s="3"/>
      <c r="C8" s="11"/>
      <c r="D8" s="22">
        <v>43791</v>
      </c>
      <c r="E8" s="4">
        <v>12</v>
      </c>
      <c r="F8" s="26" t="s">
        <v>1281</v>
      </c>
      <c r="H8" s="6">
        <v>43817</v>
      </c>
      <c r="I8" s="7">
        <v>50</v>
      </c>
      <c r="J8" s="187" t="s">
        <v>1288</v>
      </c>
      <c r="K8" s="188"/>
      <c r="L8" s="8" t="s">
        <v>1290</v>
      </c>
      <c r="M8" s="8" t="s">
        <v>268</v>
      </c>
    </row>
    <row r="9" spans="1:13" ht="15.75" x14ac:dyDescent="0.25">
      <c r="A9" s="2"/>
      <c r="B9" s="3"/>
      <c r="C9" s="11"/>
      <c r="D9" s="5">
        <v>43791</v>
      </c>
      <c r="E9" s="4">
        <v>16.86</v>
      </c>
      <c r="F9" s="50" t="s">
        <v>1231</v>
      </c>
      <c r="G9" s="42"/>
      <c r="H9" s="6">
        <v>43818</v>
      </c>
      <c r="I9" s="7">
        <v>6800</v>
      </c>
      <c r="J9" s="187" t="s">
        <v>1012</v>
      </c>
      <c r="K9" s="188"/>
      <c r="L9" s="8" t="s">
        <v>1310</v>
      </c>
      <c r="M9" s="8" t="s">
        <v>267</v>
      </c>
    </row>
    <row r="10" spans="1:13" ht="15.75" x14ac:dyDescent="0.25">
      <c r="A10" s="2"/>
      <c r="B10" s="3"/>
      <c r="C10" s="11"/>
      <c r="D10" s="5">
        <v>43798</v>
      </c>
      <c r="E10" s="4">
        <v>5.9</v>
      </c>
      <c r="F10" s="26" t="s">
        <v>1281</v>
      </c>
      <c r="H10" s="6">
        <v>44191</v>
      </c>
      <c r="I10" s="7">
        <v>5000</v>
      </c>
      <c r="J10" s="187" t="s">
        <v>1127</v>
      </c>
      <c r="K10" s="188"/>
      <c r="L10" s="8" t="s">
        <v>1058</v>
      </c>
      <c r="M10" s="8" t="s">
        <v>267</v>
      </c>
    </row>
    <row r="11" spans="1:13" ht="15.75" x14ac:dyDescent="0.25">
      <c r="A11" s="2" t="s">
        <v>59</v>
      </c>
      <c r="B11" s="3">
        <f>(B7-B9)/2</f>
        <v>1939.17</v>
      </c>
      <c r="C11" s="11"/>
      <c r="D11" s="22">
        <v>43799</v>
      </c>
      <c r="E11" s="4">
        <v>33.340000000000003</v>
      </c>
      <c r="F11" s="26" t="s">
        <v>1332</v>
      </c>
      <c r="H11" s="6">
        <v>43836</v>
      </c>
      <c r="I11" s="7">
        <v>300</v>
      </c>
      <c r="J11" s="187" t="s">
        <v>855</v>
      </c>
      <c r="K11" s="188"/>
      <c r="L11" s="8" t="s">
        <v>1292</v>
      </c>
      <c r="M11" s="8" t="s">
        <v>268</v>
      </c>
    </row>
    <row r="12" spans="1:13" ht="15.75" x14ac:dyDescent="0.25">
      <c r="A12" s="2"/>
      <c r="B12" s="3"/>
      <c r="C12" s="11"/>
      <c r="D12" s="22">
        <v>43800</v>
      </c>
      <c r="E12" s="4">
        <v>19.3</v>
      </c>
      <c r="F12" s="26" t="s">
        <v>1231</v>
      </c>
      <c r="H12" s="6">
        <v>43837</v>
      </c>
      <c r="I12" s="7">
        <v>700</v>
      </c>
      <c r="J12" s="187" t="s">
        <v>763</v>
      </c>
      <c r="K12" s="188"/>
      <c r="L12" s="8" t="s">
        <v>1294</v>
      </c>
      <c r="M12" s="8" t="s">
        <v>267</v>
      </c>
    </row>
    <row r="13" spans="1:13" ht="15.75" x14ac:dyDescent="0.25">
      <c r="A13" s="2"/>
      <c r="B13" s="3"/>
      <c r="C13" s="11"/>
      <c r="D13" s="22">
        <v>43806</v>
      </c>
      <c r="E13" s="4">
        <v>11.99</v>
      </c>
      <c r="F13" s="26" t="s">
        <v>1281</v>
      </c>
      <c r="H13" s="6"/>
      <c r="I13" s="7"/>
      <c r="J13" s="187"/>
      <c r="K13" s="188"/>
      <c r="L13" s="8"/>
      <c r="M13" s="8"/>
    </row>
    <row r="14" spans="1:13" ht="15.75" x14ac:dyDescent="0.25">
      <c r="A14" s="2"/>
      <c r="B14" s="3"/>
      <c r="C14" s="11"/>
      <c r="D14" s="22">
        <v>43812</v>
      </c>
      <c r="E14" s="4">
        <v>16.399999999999999</v>
      </c>
      <c r="F14" s="26" t="s">
        <v>1281</v>
      </c>
      <c r="H14" s="6"/>
      <c r="I14" s="7"/>
      <c r="J14" s="187"/>
      <c r="K14" s="188"/>
      <c r="L14" s="8"/>
      <c r="M14" s="8"/>
    </row>
    <row r="15" spans="1:13" ht="15.75" x14ac:dyDescent="0.25">
      <c r="A15" s="2"/>
      <c r="B15" s="3"/>
      <c r="C15" s="11"/>
      <c r="D15" s="22"/>
      <c r="E15" s="4"/>
      <c r="F15" s="26"/>
      <c r="H15" s="6"/>
      <c r="I15" s="7"/>
      <c r="J15" s="187"/>
      <c r="K15" s="188"/>
      <c r="L15" s="8"/>
      <c r="M15" s="8"/>
    </row>
    <row r="16" spans="1:13" ht="15.75" x14ac:dyDescent="0.25">
      <c r="A16" s="2"/>
      <c r="B16" s="2"/>
      <c r="C16" s="1"/>
      <c r="D16" s="22"/>
      <c r="E16" s="4"/>
      <c r="F16" s="51"/>
      <c r="H16" s="6"/>
      <c r="I16" s="7"/>
      <c r="J16" s="187"/>
      <c r="K16" s="188"/>
      <c r="L16" s="8"/>
      <c r="M16" s="8"/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/>
      <c r="I17" s="7"/>
      <c r="J17" s="187"/>
      <c r="K17" s="188"/>
      <c r="L17" s="8"/>
      <c r="M17" s="8"/>
    </row>
    <row r="18" spans="1:13" ht="15.75" x14ac:dyDescent="0.25">
      <c r="A18" s="2"/>
      <c r="B18" s="3"/>
      <c r="C18" s="1"/>
      <c r="D18" s="22"/>
      <c r="E18" s="4"/>
      <c r="F18" s="2"/>
      <c r="H18" s="6"/>
      <c r="I18" s="7"/>
      <c r="J18" s="187"/>
      <c r="K18" s="188"/>
      <c r="L18" s="8"/>
      <c r="M18" s="8"/>
    </row>
    <row r="19" spans="1:13" ht="15.75" x14ac:dyDescent="0.25">
      <c r="A19" s="2" t="s">
        <v>57</v>
      </c>
      <c r="B19" s="3">
        <f>B11-E25</f>
        <v>-26.470000000000027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1939.17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1965.64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19044.38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1276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43472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43819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43836</v>
      </c>
      <c r="I38" s="4">
        <v>6000</v>
      </c>
      <c r="J38" s="182" t="s">
        <v>1275</v>
      </c>
      <c r="K38" s="183"/>
      <c r="L38" s="180"/>
      <c r="M38" s="180"/>
    </row>
    <row r="39" spans="1:13" ht="15.75" x14ac:dyDescent="0.25">
      <c r="H39" s="6">
        <v>43815</v>
      </c>
      <c r="I39" s="4">
        <v>2000</v>
      </c>
      <c r="J39" s="182" t="s">
        <v>1279</v>
      </c>
      <c r="K39" s="183"/>
      <c r="L39" s="180"/>
      <c r="M39" s="180"/>
    </row>
    <row r="40" spans="1:13" ht="15.75" x14ac:dyDescent="0.25">
      <c r="H40" s="6">
        <v>43815</v>
      </c>
      <c r="I40" s="35">
        <v>133.37</v>
      </c>
      <c r="J40" s="182" t="s">
        <v>1287</v>
      </c>
      <c r="K40" s="183"/>
    </row>
    <row r="41" spans="1:13" ht="15.75" x14ac:dyDescent="0.25">
      <c r="H41" s="6">
        <v>43817</v>
      </c>
      <c r="I41" s="7">
        <v>3000.63</v>
      </c>
      <c r="J41" s="182" t="s">
        <v>1289</v>
      </c>
      <c r="K41" s="183"/>
    </row>
    <row r="42" spans="1:13" ht="15.75" x14ac:dyDescent="0.25">
      <c r="H42" s="6">
        <v>43837</v>
      </c>
      <c r="I42" s="7">
        <v>132.04</v>
      </c>
      <c r="J42" s="182" t="s">
        <v>1293</v>
      </c>
      <c r="K42" s="183"/>
    </row>
    <row r="43" spans="1:13" ht="15.75" x14ac:dyDescent="0.25">
      <c r="H43" s="6">
        <v>43837</v>
      </c>
      <c r="I43" s="35">
        <v>1500</v>
      </c>
      <c r="J43" s="182" t="s">
        <v>1295</v>
      </c>
      <c r="K43" s="183"/>
    </row>
    <row r="44" spans="1:13" ht="15.75" x14ac:dyDescent="0.25">
      <c r="H44" s="6"/>
      <c r="I44" s="35"/>
      <c r="J44" s="182"/>
      <c r="K44" s="183"/>
    </row>
    <row r="45" spans="1:13" ht="15.75" x14ac:dyDescent="0.25">
      <c r="H45" s="6"/>
      <c r="I45" s="35"/>
      <c r="J45" s="182"/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53:K53"/>
    <mergeCell ref="J54:K54"/>
    <mergeCell ref="J47:K47"/>
    <mergeCell ref="J48:K48"/>
    <mergeCell ref="J49:K49"/>
    <mergeCell ref="J50:K50"/>
    <mergeCell ref="J51:K51"/>
    <mergeCell ref="J52:K52"/>
    <mergeCell ref="L46:M46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J45:K45"/>
    <mergeCell ref="J46:K46"/>
    <mergeCell ref="J37:K37"/>
    <mergeCell ref="L31:M31"/>
    <mergeCell ref="A32:B32"/>
    <mergeCell ref="C32:D32"/>
    <mergeCell ref="E32:F32"/>
    <mergeCell ref="A33:B33"/>
    <mergeCell ref="C33:D33"/>
    <mergeCell ref="E33:F33"/>
    <mergeCell ref="H34:K34"/>
    <mergeCell ref="L34:M34"/>
    <mergeCell ref="J35:K35"/>
    <mergeCell ref="L35:M35"/>
    <mergeCell ref="J36:K36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0:K30"/>
    <mergeCell ref="L30:M30"/>
    <mergeCell ref="J21:K21"/>
    <mergeCell ref="J22:K22"/>
    <mergeCell ref="A24:B24"/>
    <mergeCell ref="J24:K24"/>
    <mergeCell ref="J23:K23"/>
    <mergeCell ref="J9:K9"/>
    <mergeCell ref="J10:K10"/>
    <mergeCell ref="J13:K13"/>
    <mergeCell ref="A17:B17"/>
    <mergeCell ref="J20:K20"/>
    <mergeCell ref="J16:K16"/>
    <mergeCell ref="J17:K17"/>
    <mergeCell ref="J18:K18"/>
    <mergeCell ref="J19:K19"/>
    <mergeCell ref="J14:K14"/>
    <mergeCell ref="J15:K15"/>
    <mergeCell ref="J12:K12"/>
    <mergeCell ref="J11:K11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47"/>
  <dimension ref="A1:M54"/>
  <sheetViews>
    <sheetView topLeftCell="F1" workbookViewId="0">
      <selection activeCell="H22" sqref="H22:L22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1296</v>
      </c>
      <c r="B1" s="184"/>
      <c r="C1" s="10"/>
      <c r="D1" s="184" t="s">
        <v>55</v>
      </c>
      <c r="E1" s="184"/>
      <c r="F1" s="26" t="s">
        <v>1249</v>
      </c>
      <c r="H1" s="184" t="s">
        <v>1297</v>
      </c>
      <c r="I1" s="184"/>
      <c r="J1" s="184"/>
      <c r="K1" s="184"/>
      <c r="L1" s="184"/>
      <c r="M1" s="184"/>
    </row>
    <row r="2" spans="1:13" ht="18.75" x14ac:dyDescent="0.3">
      <c r="A2" s="184" t="s">
        <v>358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18321.719999999998</v>
      </c>
      <c r="C3" s="11"/>
      <c r="D3" s="22">
        <v>43746</v>
      </c>
      <c r="E3" s="4">
        <v>69.900000000000006</v>
      </c>
      <c r="F3" s="26" t="s">
        <v>1304</v>
      </c>
      <c r="H3" s="6">
        <v>43840</v>
      </c>
      <c r="I3" s="7">
        <v>50</v>
      </c>
      <c r="J3" s="187" t="s">
        <v>1288</v>
      </c>
      <c r="K3" s="188"/>
      <c r="L3" s="8" t="s">
        <v>1299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43844</v>
      </c>
      <c r="E4" s="4">
        <v>1063.3699999999999</v>
      </c>
      <c r="F4" s="26" t="s">
        <v>1311</v>
      </c>
      <c r="H4" s="6">
        <v>43844</v>
      </c>
      <c r="I4" s="7">
        <v>200</v>
      </c>
      <c r="J4" s="187" t="s">
        <v>1303</v>
      </c>
      <c r="K4" s="188"/>
      <c r="L4" s="8" t="s">
        <v>2232</v>
      </c>
      <c r="M4" s="8" t="s">
        <v>267</v>
      </c>
    </row>
    <row r="5" spans="1:13" ht="15.75" x14ac:dyDescent="0.25">
      <c r="A5" s="2" t="s">
        <v>4</v>
      </c>
      <c r="B5" s="3">
        <f>SUM(I36:I54)</f>
        <v>10878.69</v>
      </c>
      <c r="C5" s="11"/>
      <c r="D5" s="22">
        <v>43846</v>
      </c>
      <c r="E5" s="4">
        <v>451.49</v>
      </c>
      <c r="F5" s="26" t="s">
        <v>1312</v>
      </c>
      <c r="H5" s="6">
        <v>43845</v>
      </c>
      <c r="I5" s="7">
        <v>50</v>
      </c>
      <c r="J5" s="187" t="s">
        <v>1288</v>
      </c>
      <c r="K5" s="188"/>
      <c r="L5" s="8" t="s">
        <v>1314</v>
      </c>
      <c r="M5" s="8" t="s">
        <v>268</v>
      </c>
    </row>
    <row r="6" spans="1:13" ht="15.75" x14ac:dyDescent="0.25">
      <c r="A6" s="2"/>
      <c r="B6" s="3"/>
      <c r="C6" s="11"/>
      <c r="D6" s="22">
        <v>43846</v>
      </c>
      <c r="E6" s="4">
        <v>105.78</v>
      </c>
      <c r="F6" s="26" t="s">
        <v>1313</v>
      </c>
      <c r="H6" s="6">
        <v>43847</v>
      </c>
      <c r="I6" s="7">
        <v>450</v>
      </c>
      <c r="J6" s="187" t="s">
        <v>1317</v>
      </c>
      <c r="K6" s="188"/>
      <c r="L6" s="8" t="s">
        <v>2311</v>
      </c>
      <c r="M6" s="8" t="s">
        <v>267</v>
      </c>
    </row>
    <row r="7" spans="1:13" ht="15.75" x14ac:dyDescent="0.25">
      <c r="A7" s="12" t="s">
        <v>5</v>
      </c>
      <c r="B7" s="25">
        <f>B3+B4-B5</f>
        <v>7443.029999999997</v>
      </c>
      <c r="C7" s="11"/>
      <c r="D7" s="22">
        <v>43846</v>
      </c>
      <c r="E7" s="4">
        <v>105.78</v>
      </c>
      <c r="F7" s="26" t="s">
        <v>1313</v>
      </c>
      <c r="H7" s="6">
        <v>43847</v>
      </c>
      <c r="I7" s="7">
        <v>50</v>
      </c>
      <c r="J7" s="187" t="s">
        <v>1318</v>
      </c>
      <c r="K7" s="188"/>
      <c r="L7" s="8" t="s">
        <v>2272</v>
      </c>
      <c r="M7" s="8" t="s">
        <v>267</v>
      </c>
    </row>
    <row r="8" spans="1:13" ht="15.75" x14ac:dyDescent="0.25">
      <c r="A8" s="2"/>
      <c r="B8" s="3"/>
      <c r="C8" s="11"/>
      <c r="D8" s="22">
        <v>43861</v>
      </c>
      <c r="E8" s="4">
        <v>338.91</v>
      </c>
      <c r="F8" s="26" t="s">
        <v>1291</v>
      </c>
      <c r="H8" s="6">
        <v>43850</v>
      </c>
      <c r="I8" s="7">
        <v>180</v>
      </c>
      <c r="J8" s="187" t="s">
        <v>1320</v>
      </c>
      <c r="K8" s="188"/>
      <c r="L8" s="8" t="s">
        <v>1321</v>
      </c>
      <c r="M8" s="8" t="s">
        <v>1319</v>
      </c>
    </row>
    <row r="9" spans="1:13" ht="15.75" x14ac:dyDescent="0.25">
      <c r="A9" s="2"/>
      <c r="B9" s="3"/>
      <c r="C9" s="11"/>
      <c r="D9" s="5">
        <v>43865</v>
      </c>
      <c r="E9" s="4">
        <v>181.87</v>
      </c>
      <c r="F9" s="50" t="s">
        <v>1324</v>
      </c>
      <c r="G9" s="42"/>
      <c r="H9" s="6">
        <v>43852</v>
      </c>
      <c r="I9" s="7">
        <v>1000</v>
      </c>
      <c r="J9" s="187" t="s">
        <v>868</v>
      </c>
      <c r="K9" s="188"/>
      <c r="L9" s="8" t="s">
        <v>419</v>
      </c>
      <c r="M9" s="8" t="s">
        <v>268</v>
      </c>
    </row>
    <row r="10" spans="1:13" ht="15.75" x14ac:dyDescent="0.25">
      <c r="A10" s="2"/>
      <c r="B10" s="3"/>
      <c r="C10" s="11"/>
      <c r="D10" s="22">
        <v>43778</v>
      </c>
      <c r="E10" s="4">
        <v>163.93</v>
      </c>
      <c r="F10" s="26" t="s">
        <v>1315</v>
      </c>
      <c r="H10" s="6">
        <v>43853</v>
      </c>
      <c r="I10" s="7">
        <v>300</v>
      </c>
      <c r="J10" s="187" t="s">
        <v>327</v>
      </c>
      <c r="K10" s="188"/>
      <c r="L10" s="8" t="s">
        <v>2221</v>
      </c>
      <c r="M10" s="8" t="s">
        <v>267</v>
      </c>
    </row>
    <row r="11" spans="1:13" ht="15.75" x14ac:dyDescent="0.25">
      <c r="A11" s="2" t="s">
        <v>59</v>
      </c>
      <c r="B11" s="3">
        <f>(B7-B9)/2</f>
        <v>3721.5149999999985</v>
      </c>
      <c r="C11" s="11"/>
      <c r="D11" s="22">
        <v>43799</v>
      </c>
      <c r="E11" s="4">
        <v>33.340000000000003</v>
      </c>
      <c r="F11" s="26" t="s">
        <v>1333</v>
      </c>
      <c r="H11" s="6">
        <v>43853</v>
      </c>
      <c r="I11" s="7">
        <v>1000</v>
      </c>
      <c r="J11" s="187" t="s">
        <v>1322</v>
      </c>
      <c r="K11" s="188"/>
      <c r="L11" s="8" t="s">
        <v>1259</v>
      </c>
      <c r="M11" s="8" t="s">
        <v>267</v>
      </c>
    </row>
    <row r="12" spans="1:13" ht="15.75" x14ac:dyDescent="0.25">
      <c r="A12" s="2"/>
      <c r="B12" s="3"/>
      <c r="C12" s="11"/>
      <c r="D12" s="22">
        <v>44191</v>
      </c>
      <c r="E12" s="4">
        <v>12</v>
      </c>
      <c r="F12" s="26" t="s">
        <v>1335</v>
      </c>
      <c r="H12" s="6">
        <v>43853</v>
      </c>
      <c r="I12" s="7">
        <v>2000</v>
      </c>
      <c r="J12" s="187" t="s">
        <v>46</v>
      </c>
      <c r="K12" s="188"/>
      <c r="L12" s="8" t="s">
        <v>1198</v>
      </c>
      <c r="M12" s="8" t="s">
        <v>268</v>
      </c>
    </row>
    <row r="13" spans="1:13" ht="15.75" x14ac:dyDescent="0.25">
      <c r="A13" s="2"/>
      <c r="B13" s="3"/>
      <c r="C13" s="11"/>
      <c r="D13" s="22">
        <v>44191</v>
      </c>
      <c r="E13" s="4">
        <v>12</v>
      </c>
      <c r="F13" s="26" t="s">
        <v>1335</v>
      </c>
      <c r="H13" s="6">
        <v>43860</v>
      </c>
      <c r="I13" s="7">
        <v>5000</v>
      </c>
      <c r="J13" s="187" t="s">
        <v>1127</v>
      </c>
      <c r="K13" s="188"/>
      <c r="L13" s="8" t="s">
        <v>1058</v>
      </c>
      <c r="M13" s="8" t="s">
        <v>286</v>
      </c>
    </row>
    <row r="14" spans="1:13" ht="15.75" x14ac:dyDescent="0.25">
      <c r="A14" s="2"/>
      <c r="B14" s="3"/>
      <c r="C14" s="11"/>
      <c r="D14" s="22">
        <v>43840</v>
      </c>
      <c r="E14" s="4">
        <v>285.8</v>
      </c>
      <c r="F14" s="26" t="s">
        <v>1334</v>
      </c>
      <c r="H14" s="6">
        <v>43865</v>
      </c>
      <c r="I14" s="7">
        <v>488.05</v>
      </c>
      <c r="J14" s="187" t="s">
        <v>1325</v>
      </c>
      <c r="K14" s="188"/>
      <c r="L14" s="8" t="s">
        <v>2242</v>
      </c>
      <c r="M14" s="8" t="s">
        <v>286</v>
      </c>
    </row>
    <row r="15" spans="1:13" ht="15.75" x14ac:dyDescent="0.25">
      <c r="A15" s="2"/>
      <c r="B15" s="3"/>
      <c r="C15" s="11"/>
      <c r="D15" s="22">
        <v>43841</v>
      </c>
      <c r="E15" s="4">
        <v>7</v>
      </c>
      <c r="F15" s="26" t="s">
        <v>1281</v>
      </c>
      <c r="H15" s="6">
        <v>43865</v>
      </c>
      <c r="I15" s="7">
        <v>962.1</v>
      </c>
      <c r="J15" s="187" t="s">
        <v>1326</v>
      </c>
      <c r="K15" s="188"/>
      <c r="L15" s="8" t="s">
        <v>2242</v>
      </c>
      <c r="M15" s="8" t="s">
        <v>286</v>
      </c>
    </row>
    <row r="16" spans="1:13" ht="15.75" x14ac:dyDescent="0.25">
      <c r="A16" s="2"/>
      <c r="B16" s="2"/>
      <c r="C16" s="1"/>
      <c r="D16" s="22">
        <v>43843</v>
      </c>
      <c r="E16" s="4">
        <v>10</v>
      </c>
      <c r="F16" s="26" t="s">
        <v>1281</v>
      </c>
      <c r="H16" s="6">
        <v>43866</v>
      </c>
      <c r="I16" s="7">
        <v>200</v>
      </c>
      <c r="J16" s="187" t="s">
        <v>868</v>
      </c>
      <c r="K16" s="188"/>
      <c r="L16" s="8" t="s">
        <v>419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22">
        <v>43846</v>
      </c>
      <c r="E17" s="21">
        <v>8</v>
      </c>
      <c r="F17" s="26" t="s">
        <v>1281</v>
      </c>
      <c r="H17" s="6">
        <v>43866</v>
      </c>
      <c r="I17" s="7">
        <v>955.13</v>
      </c>
      <c r="J17" s="187" t="s">
        <v>733</v>
      </c>
      <c r="K17" s="188"/>
      <c r="L17" s="8" t="s">
        <v>1327</v>
      </c>
      <c r="M17" s="8" t="s">
        <v>268</v>
      </c>
    </row>
    <row r="18" spans="1:13" ht="15.75" x14ac:dyDescent="0.25">
      <c r="A18" s="2"/>
      <c r="B18" s="3"/>
      <c r="C18" s="1"/>
      <c r="D18" s="22">
        <v>43846</v>
      </c>
      <c r="E18" s="4">
        <v>11.4</v>
      </c>
      <c r="F18" s="26" t="s">
        <v>1281</v>
      </c>
      <c r="H18" s="6">
        <v>43867</v>
      </c>
      <c r="I18" s="7">
        <v>500</v>
      </c>
      <c r="J18" s="187" t="s">
        <v>46</v>
      </c>
      <c r="K18" s="188"/>
      <c r="L18" s="8" t="s">
        <v>1051</v>
      </c>
      <c r="M18" s="8" t="s">
        <v>268</v>
      </c>
    </row>
    <row r="19" spans="1:13" ht="15.75" x14ac:dyDescent="0.25">
      <c r="A19" s="2" t="s">
        <v>57</v>
      </c>
      <c r="B19" s="3">
        <f>B11-E25</f>
        <v>656.65499999999793</v>
      </c>
      <c r="C19" s="1"/>
      <c r="D19" s="5">
        <v>43846</v>
      </c>
      <c r="E19" s="4">
        <v>11.4</v>
      </c>
      <c r="F19" s="26" t="s">
        <v>1281</v>
      </c>
      <c r="H19" s="6">
        <v>43868</v>
      </c>
      <c r="I19" s="7">
        <v>3456.44</v>
      </c>
      <c r="J19" s="187" t="s">
        <v>733</v>
      </c>
      <c r="K19" s="188"/>
      <c r="L19" s="8" t="s">
        <v>1043</v>
      </c>
      <c r="M19" s="8" t="s">
        <v>268</v>
      </c>
    </row>
    <row r="20" spans="1:13" ht="15.75" x14ac:dyDescent="0.25">
      <c r="A20" s="2" t="s">
        <v>12</v>
      </c>
      <c r="B20" s="3">
        <f>B11</f>
        <v>3721.5149999999985</v>
      </c>
      <c r="C20" s="1"/>
      <c r="D20" s="5">
        <v>43847</v>
      </c>
      <c r="E20" s="4">
        <v>6.9</v>
      </c>
      <c r="F20" s="26" t="s">
        <v>1281</v>
      </c>
      <c r="H20" s="6">
        <v>43871</v>
      </c>
      <c r="I20" s="7">
        <v>580</v>
      </c>
      <c r="J20" s="36" t="s">
        <v>46</v>
      </c>
      <c r="K20" s="37"/>
      <c r="L20" s="8" t="s">
        <v>1331</v>
      </c>
      <c r="M20" s="8" t="s">
        <v>268</v>
      </c>
    </row>
    <row r="21" spans="1:13" ht="15.75" x14ac:dyDescent="0.25">
      <c r="A21" s="2"/>
      <c r="B21" s="2"/>
      <c r="C21" s="1"/>
      <c r="D21" s="5">
        <v>44183</v>
      </c>
      <c r="E21" s="4">
        <v>185.99</v>
      </c>
      <c r="F21" s="26" t="s">
        <v>1339</v>
      </c>
      <c r="H21" s="6">
        <v>43871</v>
      </c>
      <c r="I21" s="7">
        <v>300</v>
      </c>
      <c r="J21" s="187"/>
      <c r="K21" s="188"/>
      <c r="L21" s="8" t="s">
        <v>1337</v>
      </c>
      <c r="M21" s="8" t="s">
        <v>267</v>
      </c>
    </row>
    <row r="22" spans="1:13" ht="15.75" x14ac:dyDescent="0.25">
      <c r="A22" s="2"/>
      <c r="B22" s="2"/>
      <c r="C22" s="1"/>
      <c r="D22" s="22"/>
      <c r="E22" s="4"/>
      <c r="F22" s="26"/>
      <c r="H22" s="6">
        <v>43871</v>
      </c>
      <c r="I22" s="7">
        <v>600</v>
      </c>
      <c r="J22" s="36" t="s">
        <v>719</v>
      </c>
      <c r="K22" s="37"/>
      <c r="L22" s="8" t="s">
        <v>1338</v>
      </c>
      <c r="M22" s="8" t="s">
        <v>267</v>
      </c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3064.8600000000006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18321.719999999998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1298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43868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43852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43861</v>
      </c>
      <c r="I38" s="4">
        <v>6000</v>
      </c>
      <c r="J38" s="182" t="s">
        <v>1305</v>
      </c>
      <c r="K38" s="183"/>
      <c r="L38" s="180"/>
      <c r="M38" s="180"/>
    </row>
    <row r="39" spans="1:13" ht="15.75" x14ac:dyDescent="0.25">
      <c r="H39" s="6">
        <v>43844</v>
      </c>
      <c r="I39" s="4">
        <v>282.37</v>
      </c>
      <c r="J39" s="182" t="s">
        <v>1309</v>
      </c>
      <c r="K39" s="183"/>
      <c r="L39" s="180"/>
      <c r="M39" s="180"/>
    </row>
    <row r="40" spans="1:13" ht="15.75" x14ac:dyDescent="0.25">
      <c r="H40" s="6">
        <v>43846</v>
      </c>
      <c r="I40" s="35">
        <v>247.31</v>
      </c>
      <c r="J40" s="182" t="s">
        <v>1309</v>
      </c>
      <c r="K40" s="183"/>
    </row>
    <row r="41" spans="1:13" ht="15.75" x14ac:dyDescent="0.25">
      <c r="H41" s="6">
        <v>43847</v>
      </c>
      <c r="I41" s="7">
        <v>886.03</v>
      </c>
      <c r="J41" s="182" t="s">
        <v>1316</v>
      </c>
      <c r="K41" s="183"/>
    </row>
    <row r="42" spans="1:13" ht="15.75" x14ac:dyDescent="0.25">
      <c r="H42" s="6">
        <v>43864</v>
      </c>
      <c r="I42" s="7">
        <v>550</v>
      </c>
      <c r="J42" s="182" t="s">
        <v>1323</v>
      </c>
      <c r="K42" s="183"/>
    </row>
    <row r="43" spans="1:13" ht="15.75" x14ac:dyDescent="0.25">
      <c r="H43" s="6">
        <v>43867</v>
      </c>
      <c r="I43" s="35">
        <v>116.08</v>
      </c>
      <c r="J43" s="182" t="s">
        <v>1075</v>
      </c>
      <c r="K43" s="183"/>
    </row>
    <row r="44" spans="1:13" ht="15.75" x14ac:dyDescent="0.25">
      <c r="H44" s="6">
        <v>43847</v>
      </c>
      <c r="I44" s="35">
        <v>246.9</v>
      </c>
      <c r="J44" s="182" t="s">
        <v>1336</v>
      </c>
      <c r="K44" s="183"/>
    </row>
    <row r="45" spans="1:13" ht="15.75" x14ac:dyDescent="0.25">
      <c r="H45" s="6"/>
      <c r="I45" s="35">
        <v>150</v>
      </c>
      <c r="J45" s="182" t="s">
        <v>1340</v>
      </c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3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A17:B17"/>
    <mergeCell ref="J17:K17"/>
    <mergeCell ref="J14:K14"/>
    <mergeCell ref="J15:K15"/>
    <mergeCell ref="J16:K16"/>
    <mergeCell ref="J18:K18"/>
    <mergeCell ref="J21:K21"/>
    <mergeCell ref="J19:K19"/>
    <mergeCell ref="J10:K10"/>
    <mergeCell ref="J11:K11"/>
    <mergeCell ref="J12:K12"/>
    <mergeCell ref="J13:K13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48"/>
  <dimension ref="A1:M54"/>
  <sheetViews>
    <sheetView topLeftCell="F1" workbookViewId="0">
      <selection activeCell="L12" sqref="L12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1300</v>
      </c>
      <c r="B1" s="184"/>
      <c r="C1" s="10"/>
      <c r="D1" s="184" t="s">
        <v>55</v>
      </c>
      <c r="E1" s="184"/>
      <c r="F1" s="26" t="s">
        <v>1249</v>
      </c>
      <c r="H1" s="184" t="s">
        <v>1301</v>
      </c>
      <c r="I1" s="184"/>
      <c r="J1" s="184"/>
      <c r="K1" s="184"/>
      <c r="L1" s="184"/>
      <c r="M1" s="184"/>
    </row>
    <row r="2" spans="1:13" ht="18.75" x14ac:dyDescent="0.3">
      <c r="A2" s="184" t="s">
        <v>396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23246.37</v>
      </c>
      <c r="C3" s="11"/>
      <c r="D3" s="22">
        <v>43746</v>
      </c>
      <c r="E3" s="4">
        <v>69.900000000000006</v>
      </c>
      <c r="F3" s="26" t="s">
        <v>1306</v>
      </c>
      <c r="H3" s="6">
        <v>43872</v>
      </c>
      <c r="I3" s="7">
        <v>100</v>
      </c>
      <c r="J3" s="187" t="s">
        <v>1303</v>
      </c>
      <c r="K3" s="188"/>
      <c r="L3" s="8" t="s">
        <v>2232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43873</v>
      </c>
      <c r="E4" s="4">
        <v>1063.3699999999999</v>
      </c>
      <c r="F4" s="26" t="s">
        <v>1341</v>
      </c>
      <c r="H4" s="6">
        <v>43874</v>
      </c>
      <c r="I4" s="7">
        <v>1000</v>
      </c>
      <c r="J4" s="187" t="s">
        <v>1352</v>
      </c>
      <c r="K4" s="188"/>
      <c r="L4" s="8" t="s">
        <v>1194</v>
      </c>
      <c r="M4" s="8" t="s">
        <v>267</v>
      </c>
    </row>
    <row r="5" spans="1:13" ht="15.75" x14ac:dyDescent="0.25">
      <c r="A5" s="2" t="s">
        <v>4</v>
      </c>
      <c r="B5" s="3">
        <f>SUM(I36:I54)</f>
        <v>14036.230000000001</v>
      </c>
      <c r="C5" s="11"/>
      <c r="D5" s="22">
        <v>43799</v>
      </c>
      <c r="E5" s="4">
        <v>33.340000000000003</v>
      </c>
      <c r="F5" s="26" t="s">
        <v>1342</v>
      </c>
      <c r="H5" s="6">
        <v>43880</v>
      </c>
      <c r="I5" s="7">
        <v>250</v>
      </c>
      <c r="J5" s="187" t="s">
        <v>1349</v>
      </c>
      <c r="K5" s="188"/>
      <c r="L5" s="8" t="s">
        <v>1350</v>
      </c>
      <c r="M5" s="8" t="s">
        <v>268</v>
      </c>
    </row>
    <row r="6" spans="1:13" ht="15.75" x14ac:dyDescent="0.25">
      <c r="A6" s="2"/>
      <c r="B6" s="3"/>
      <c r="C6" s="11"/>
      <c r="D6" s="5">
        <v>43817</v>
      </c>
      <c r="E6" s="4">
        <v>185.99</v>
      </c>
      <c r="F6" s="26" t="s">
        <v>1343</v>
      </c>
      <c r="H6" s="6">
        <v>43878</v>
      </c>
      <c r="I6" s="7">
        <v>1000</v>
      </c>
      <c r="J6" s="187" t="s">
        <v>788</v>
      </c>
      <c r="K6" s="188"/>
      <c r="L6" s="8" t="s">
        <v>1354</v>
      </c>
      <c r="M6" s="8" t="s">
        <v>268</v>
      </c>
    </row>
    <row r="7" spans="1:13" ht="15.75" x14ac:dyDescent="0.25">
      <c r="A7" s="12" t="s">
        <v>5</v>
      </c>
      <c r="B7" s="25">
        <f>B3+B4-B5</f>
        <v>9210.1399999999976</v>
      </c>
      <c r="C7" s="11"/>
      <c r="D7" s="22">
        <v>43862</v>
      </c>
      <c r="E7" s="4">
        <v>83.35</v>
      </c>
      <c r="F7" s="26" t="s">
        <v>1344</v>
      </c>
      <c r="H7" s="6">
        <v>43881</v>
      </c>
      <c r="I7" s="7">
        <v>1000</v>
      </c>
      <c r="J7" s="187" t="s">
        <v>1353</v>
      </c>
      <c r="K7" s="188"/>
      <c r="L7" s="8" t="s">
        <v>2243</v>
      </c>
      <c r="M7" s="8" t="s">
        <v>267</v>
      </c>
    </row>
    <row r="8" spans="1:13" ht="15.75" x14ac:dyDescent="0.25">
      <c r="A8" s="2"/>
      <c r="B8" s="3"/>
      <c r="C8" s="11"/>
      <c r="D8" s="22">
        <v>43864</v>
      </c>
      <c r="E8" s="4">
        <v>120.4</v>
      </c>
      <c r="F8" s="26" t="s">
        <v>1344</v>
      </c>
      <c r="H8" s="6">
        <v>43888</v>
      </c>
      <c r="I8" s="7">
        <v>1936.37</v>
      </c>
      <c r="J8" s="187" t="s">
        <v>788</v>
      </c>
      <c r="K8" s="188"/>
      <c r="L8" s="8" t="s">
        <v>1355</v>
      </c>
      <c r="M8" s="8" t="s">
        <v>268</v>
      </c>
    </row>
    <row r="9" spans="1:13" ht="15.75" x14ac:dyDescent="0.25">
      <c r="A9" s="2"/>
      <c r="B9" s="3"/>
      <c r="C9" s="11"/>
      <c r="D9" s="5">
        <v>43864</v>
      </c>
      <c r="E9" s="4">
        <v>176.2</v>
      </c>
      <c r="F9" s="50" t="s">
        <v>1345</v>
      </c>
      <c r="G9" s="42"/>
      <c r="H9" s="6">
        <v>43892</v>
      </c>
      <c r="I9" s="7">
        <v>150</v>
      </c>
      <c r="J9" s="187" t="s">
        <v>868</v>
      </c>
      <c r="K9" s="188"/>
      <c r="L9" s="8" t="s">
        <v>419</v>
      </c>
      <c r="M9" s="8" t="s">
        <v>268</v>
      </c>
    </row>
    <row r="10" spans="1:13" ht="15.75" x14ac:dyDescent="0.25">
      <c r="A10" s="2"/>
      <c r="B10" s="3"/>
      <c r="C10" s="11"/>
      <c r="D10" s="5">
        <v>43873</v>
      </c>
      <c r="E10" s="4">
        <v>148.93</v>
      </c>
      <c r="F10" s="26" t="s">
        <v>1367</v>
      </c>
      <c r="H10" s="6">
        <v>43892</v>
      </c>
      <c r="I10" s="7">
        <v>5000</v>
      </c>
      <c r="J10" s="187" t="s">
        <v>1356</v>
      </c>
      <c r="K10" s="188"/>
      <c r="L10" s="8" t="s">
        <v>1058</v>
      </c>
      <c r="M10" s="8" t="s">
        <v>267</v>
      </c>
    </row>
    <row r="11" spans="1:13" ht="15.75" x14ac:dyDescent="0.25">
      <c r="A11" s="2" t="s">
        <v>59</v>
      </c>
      <c r="B11" s="3">
        <f>(B7-B9)/2</f>
        <v>4605.0699999999988</v>
      </c>
      <c r="C11" s="11"/>
      <c r="D11" s="22"/>
      <c r="E11" s="4"/>
      <c r="F11" s="26"/>
      <c r="H11" s="6">
        <v>43894</v>
      </c>
      <c r="I11" s="7">
        <v>12000</v>
      </c>
      <c r="J11" s="187" t="s">
        <v>1357</v>
      </c>
      <c r="K11" s="188"/>
      <c r="L11" s="8" t="s">
        <v>1358</v>
      </c>
      <c r="M11" s="8" t="s">
        <v>267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43894</v>
      </c>
      <c r="I12" s="7">
        <v>240</v>
      </c>
      <c r="J12" s="187" t="s">
        <v>1359</v>
      </c>
      <c r="K12" s="188"/>
      <c r="L12" s="8" t="s">
        <v>192</v>
      </c>
      <c r="M12" s="8" t="s">
        <v>267</v>
      </c>
    </row>
    <row r="13" spans="1:13" ht="15.75" x14ac:dyDescent="0.25">
      <c r="A13" s="2"/>
      <c r="B13" s="3"/>
      <c r="C13" s="11"/>
      <c r="D13" s="22"/>
      <c r="E13" s="4"/>
      <c r="F13" s="26"/>
      <c r="H13" s="6">
        <v>43900</v>
      </c>
      <c r="I13" s="7">
        <v>570</v>
      </c>
      <c r="J13" s="187" t="s">
        <v>788</v>
      </c>
      <c r="K13" s="188"/>
      <c r="L13" s="8" t="s">
        <v>1331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/>
      <c r="I14" s="7"/>
      <c r="J14" s="187"/>
      <c r="K14" s="188"/>
      <c r="L14" s="8"/>
      <c r="M14" s="8"/>
    </row>
    <row r="15" spans="1:13" ht="15.75" x14ac:dyDescent="0.25">
      <c r="A15" s="2"/>
      <c r="B15" s="3"/>
      <c r="C15" s="11"/>
      <c r="D15" s="22"/>
      <c r="E15" s="4"/>
      <c r="F15" s="26"/>
      <c r="H15" s="6"/>
      <c r="I15" s="7"/>
      <c r="J15" s="187"/>
      <c r="K15" s="188"/>
      <c r="L15" s="8"/>
      <c r="M15" s="8"/>
    </row>
    <row r="16" spans="1:13" ht="15.75" x14ac:dyDescent="0.25">
      <c r="A16" s="2"/>
      <c r="B16" s="2"/>
      <c r="C16" s="1"/>
      <c r="D16" s="22"/>
      <c r="E16" s="4"/>
      <c r="F16" s="51"/>
      <c r="H16" s="6"/>
      <c r="I16" s="7"/>
      <c r="J16" s="187"/>
      <c r="K16" s="188"/>
      <c r="L16" s="8"/>
      <c r="M16" s="8"/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/>
      <c r="I17" s="7"/>
      <c r="J17" s="187"/>
      <c r="K17" s="188"/>
      <c r="L17" s="8"/>
      <c r="M17" s="8"/>
    </row>
    <row r="18" spans="1:13" ht="15.75" x14ac:dyDescent="0.25">
      <c r="A18" s="2"/>
      <c r="B18" s="3"/>
      <c r="C18" s="1"/>
      <c r="D18" s="22"/>
      <c r="E18" s="4"/>
      <c r="F18" s="2"/>
      <c r="H18" s="6"/>
      <c r="I18" s="7"/>
      <c r="J18" s="187"/>
      <c r="K18" s="188"/>
      <c r="L18" s="8"/>
      <c r="M18" s="8"/>
    </row>
    <row r="19" spans="1:13" ht="15.75" x14ac:dyDescent="0.25">
      <c r="A19" s="2" t="s">
        <v>57</v>
      </c>
      <c r="B19" s="3">
        <f>B11-E25</f>
        <v>2723.5899999999988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4605.0699999999988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1881.48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23246.37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1302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43896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43881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 t="s">
        <v>1307</v>
      </c>
      <c r="I38" s="4">
        <v>6000</v>
      </c>
      <c r="J38" s="182" t="s">
        <v>1308</v>
      </c>
      <c r="K38" s="183"/>
      <c r="L38" s="180"/>
      <c r="M38" s="180"/>
    </row>
    <row r="39" spans="1:13" ht="15.75" x14ac:dyDescent="0.25">
      <c r="H39" s="6">
        <v>43871</v>
      </c>
      <c r="I39" s="4">
        <v>116.08</v>
      </c>
      <c r="J39" s="182" t="s">
        <v>1328</v>
      </c>
      <c r="K39" s="183"/>
      <c r="L39" s="180"/>
      <c r="M39" s="180"/>
    </row>
    <row r="40" spans="1:13" ht="15.75" x14ac:dyDescent="0.25">
      <c r="H40" s="6">
        <v>43871</v>
      </c>
      <c r="I40" s="35">
        <v>283.41000000000003</v>
      </c>
      <c r="J40" s="182" t="s">
        <v>1329</v>
      </c>
      <c r="K40" s="183"/>
    </row>
    <row r="41" spans="1:13" ht="15.75" x14ac:dyDescent="0.25">
      <c r="H41" s="6">
        <v>43871</v>
      </c>
      <c r="I41" s="7">
        <v>283.44</v>
      </c>
      <c r="J41" s="182" t="s">
        <v>1330</v>
      </c>
      <c r="K41" s="183"/>
    </row>
    <row r="42" spans="1:13" ht="15.75" x14ac:dyDescent="0.25">
      <c r="H42" s="6">
        <v>43873</v>
      </c>
      <c r="I42" s="7">
        <v>105.78</v>
      </c>
      <c r="J42" s="182" t="s">
        <v>1346</v>
      </c>
      <c r="K42" s="183"/>
    </row>
    <row r="43" spans="1:13" ht="15.75" x14ac:dyDescent="0.25">
      <c r="H43" s="6">
        <v>43873</v>
      </c>
      <c r="I43" s="35">
        <v>224.25</v>
      </c>
      <c r="J43" s="182" t="s">
        <v>1347</v>
      </c>
      <c r="K43" s="183"/>
    </row>
    <row r="44" spans="1:13" ht="15.75" x14ac:dyDescent="0.25">
      <c r="H44" s="6">
        <v>43873</v>
      </c>
      <c r="I44" s="35">
        <v>204.26</v>
      </c>
      <c r="J44" s="182" t="s">
        <v>1348</v>
      </c>
      <c r="K44" s="183"/>
    </row>
    <row r="45" spans="1:13" ht="15.75" x14ac:dyDescent="0.25">
      <c r="H45" s="6">
        <v>43878</v>
      </c>
      <c r="I45" s="35">
        <v>1989.8</v>
      </c>
      <c r="J45" s="182" t="s">
        <v>1351</v>
      </c>
      <c r="K45" s="183"/>
    </row>
    <row r="46" spans="1:13" ht="15.75" x14ac:dyDescent="0.25">
      <c r="H46" s="6">
        <v>43889</v>
      </c>
      <c r="I46" s="35">
        <v>137.36000000000001</v>
      </c>
      <c r="J46" s="182" t="s">
        <v>1114</v>
      </c>
      <c r="K46" s="183"/>
      <c r="L46" s="204"/>
      <c r="M46" s="205"/>
    </row>
    <row r="47" spans="1:13" ht="15.75" x14ac:dyDescent="0.25">
      <c r="H47" s="6">
        <v>43896</v>
      </c>
      <c r="I47" s="35">
        <v>2000</v>
      </c>
      <c r="J47" s="182" t="s">
        <v>1279</v>
      </c>
      <c r="K47" s="183"/>
    </row>
    <row r="48" spans="1:13" ht="15.75" x14ac:dyDescent="0.25">
      <c r="H48" s="6">
        <v>43847</v>
      </c>
      <c r="I48" s="35">
        <v>246.9</v>
      </c>
      <c r="J48" s="182" t="s">
        <v>1371</v>
      </c>
      <c r="K48" s="183"/>
    </row>
    <row r="49" spans="8:11" ht="15.75" x14ac:dyDescent="0.25">
      <c r="H49" s="6">
        <v>43872</v>
      </c>
      <c r="I49" s="4">
        <v>44.95</v>
      </c>
      <c r="J49" s="208" t="s">
        <v>1373</v>
      </c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J18:K18"/>
    <mergeCell ref="J20:K20"/>
    <mergeCell ref="J21:K21"/>
    <mergeCell ref="J19:K19"/>
    <mergeCell ref="J22:K22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49"/>
  <dimension ref="A1:M54"/>
  <sheetViews>
    <sheetView topLeftCell="F1" workbookViewId="0">
      <selection activeCell="L9" sqref="L9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1381</v>
      </c>
      <c r="B1" s="184"/>
      <c r="C1" s="10"/>
      <c r="D1" s="184" t="s">
        <v>55</v>
      </c>
      <c r="E1" s="184"/>
      <c r="F1" s="26" t="s">
        <v>1249</v>
      </c>
      <c r="H1" s="184" t="s">
        <v>1382</v>
      </c>
      <c r="I1" s="184"/>
      <c r="J1" s="184"/>
      <c r="K1" s="184"/>
      <c r="L1" s="184"/>
      <c r="M1" s="184"/>
    </row>
    <row r="2" spans="1:13" ht="18.75" x14ac:dyDescent="0.3">
      <c r="A2" s="184" t="s">
        <v>449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41800.629999999997</v>
      </c>
      <c r="C3" s="11"/>
      <c r="D3" s="22">
        <v>43746</v>
      </c>
      <c r="E3" s="4">
        <v>69.900000000000006</v>
      </c>
      <c r="F3" s="26" t="s">
        <v>1361</v>
      </c>
      <c r="H3" s="6">
        <v>43901</v>
      </c>
      <c r="I3" s="7">
        <v>200</v>
      </c>
      <c r="J3" s="187" t="s">
        <v>1303</v>
      </c>
      <c r="K3" s="188"/>
      <c r="L3" s="8" t="s">
        <v>2232</v>
      </c>
      <c r="M3" s="8" t="s">
        <v>1319</v>
      </c>
    </row>
    <row r="4" spans="1:13" ht="15.75" x14ac:dyDescent="0.25">
      <c r="A4" s="2" t="s">
        <v>3</v>
      </c>
      <c r="B4" s="3"/>
      <c r="C4" s="11"/>
      <c r="D4" s="22">
        <v>43873</v>
      </c>
      <c r="E4" s="4">
        <v>1063.3699999999999</v>
      </c>
      <c r="F4" s="26" t="s">
        <v>1362</v>
      </c>
      <c r="H4" s="6">
        <v>43903</v>
      </c>
      <c r="I4" s="7">
        <v>1671.85</v>
      </c>
      <c r="J4" s="187" t="s">
        <v>1370</v>
      </c>
      <c r="K4" s="188"/>
      <c r="L4" s="8" t="s">
        <v>1369</v>
      </c>
      <c r="M4" s="8" t="s">
        <v>268</v>
      </c>
    </row>
    <row r="5" spans="1:13" ht="15.75" x14ac:dyDescent="0.25">
      <c r="A5" s="2" t="s">
        <v>4</v>
      </c>
      <c r="B5" s="3">
        <f>SUM(I36:I54)</f>
        <v>9446.35</v>
      </c>
      <c r="C5" s="11"/>
      <c r="D5" s="22">
        <v>43799</v>
      </c>
      <c r="E5" s="4">
        <v>33.340000000000003</v>
      </c>
      <c r="F5" s="26" t="s">
        <v>1363</v>
      </c>
      <c r="H5" s="6">
        <v>43906</v>
      </c>
      <c r="I5" s="7">
        <v>1000</v>
      </c>
      <c r="J5" s="187" t="s">
        <v>46</v>
      </c>
      <c r="K5" s="188"/>
      <c r="L5" s="8" t="s">
        <v>1354</v>
      </c>
      <c r="M5" s="8" t="s">
        <v>268</v>
      </c>
    </row>
    <row r="6" spans="1:13" ht="15.75" x14ac:dyDescent="0.25">
      <c r="A6" s="2"/>
      <c r="B6" s="3"/>
      <c r="C6" s="11"/>
      <c r="D6" s="5">
        <v>43817</v>
      </c>
      <c r="E6" s="4">
        <v>185.99</v>
      </c>
      <c r="F6" s="26" t="s">
        <v>1364</v>
      </c>
      <c r="H6" s="6">
        <v>43909</v>
      </c>
      <c r="I6" s="7">
        <v>1450.73</v>
      </c>
      <c r="J6" s="187" t="s">
        <v>1375</v>
      </c>
      <c r="K6" s="188"/>
      <c r="L6" s="8" t="s">
        <v>2248</v>
      </c>
      <c r="M6" s="8" t="s">
        <v>267</v>
      </c>
    </row>
    <row r="7" spans="1:13" ht="15.75" x14ac:dyDescent="0.25">
      <c r="A7" s="12" t="s">
        <v>5</v>
      </c>
      <c r="B7" s="25">
        <f>B3+B4-B5</f>
        <v>32354.28</v>
      </c>
      <c r="C7" s="11"/>
      <c r="D7" s="22">
        <v>43862</v>
      </c>
      <c r="E7" s="4">
        <v>83.35</v>
      </c>
      <c r="F7" s="26" t="s">
        <v>1365</v>
      </c>
      <c r="H7" s="6">
        <v>43914</v>
      </c>
      <c r="I7" s="7">
        <v>1351.27</v>
      </c>
      <c r="J7" s="187" t="s">
        <v>46</v>
      </c>
      <c r="K7" s="188"/>
      <c r="L7" s="8" t="s">
        <v>1314</v>
      </c>
      <c r="M7" s="8" t="s">
        <v>268</v>
      </c>
    </row>
    <row r="8" spans="1:13" ht="15.75" x14ac:dyDescent="0.25">
      <c r="A8" s="2"/>
      <c r="B8" s="3"/>
      <c r="C8" s="11"/>
      <c r="D8" s="22">
        <v>43864</v>
      </c>
      <c r="E8" s="4">
        <v>120.4</v>
      </c>
      <c r="F8" s="26" t="s">
        <v>1365</v>
      </c>
      <c r="H8" s="6">
        <v>43917</v>
      </c>
      <c r="I8" s="7">
        <v>1000</v>
      </c>
      <c r="J8" s="187" t="s">
        <v>46</v>
      </c>
      <c r="K8" s="188"/>
      <c r="L8" s="8" t="s">
        <v>1376</v>
      </c>
      <c r="M8" s="8" t="s">
        <v>268</v>
      </c>
    </row>
    <row r="9" spans="1:13" ht="15.75" x14ac:dyDescent="0.25">
      <c r="A9" s="2"/>
      <c r="B9" s="3"/>
      <c r="C9" s="11"/>
      <c r="D9" s="5">
        <v>43864</v>
      </c>
      <c r="E9" s="4">
        <v>176.2</v>
      </c>
      <c r="F9" s="50" t="s">
        <v>1366</v>
      </c>
      <c r="G9" s="42"/>
      <c r="H9" s="6">
        <v>43922</v>
      </c>
      <c r="I9" s="7">
        <v>5689</v>
      </c>
      <c r="J9" s="187" t="s">
        <v>1012</v>
      </c>
      <c r="K9" s="188"/>
      <c r="L9" s="8" t="s">
        <v>2257</v>
      </c>
      <c r="M9" s="8" t="s">
        <v>267</v>
      </c>
    </row>
    <row r="10" spans="1:13" ht="15.75" x14ac:dyDescent="0.25">
      <c r="A10" s="2"/>
      <c r="B10" s="3"/>
      <c r="C10" s="11"/>
      <c r="D10" s="5">
        <v>43873</v>
      </c>
      <c r="E10" s="4">
        <v>148.93</v>
      </c>
      <c r="F10" s="26" t="s">
        <v>1368</v>
      </c>
      <c r="H10" s="6">
        <v>43927</v>
      </c>
      <c r="I10" s="7">
        <v>500</v>
      </c>
      <c r="J10" s="187" t="s">
        <v>788</v>
      </c>
      <c r="K10" s="188"/>
      <c r="L10" s="8" t="s">
        <v>1051</v>
      </c>
      <c r="M10" s="8" t="s">
        <v>268</v>
      </c>
    </row>
    <row r="11" spans="1:13" ht="15.75" x14ac:dyDescent="0.25">
      <c r="A11" s="2" t="s">
        <v>59</v>
      </c>
      <c r="B11" s="3">
        <f>(B7-B9)/2</f>
        <v>16177.14</v>
      </c>
      <c r="C11" s="11"/>
      <c r="D11" s="22"/>
      <c r="E11" s="4">
        <v>74.7</v>
      </c>
      <c r="F11" s="26" t="s">
        <v>1377</v>
      </c>
      <c r="H11" s="6">
        <v>43927</v>
      </c>
      <c r="I11" s="7">
        <v>200</v>
      </c>
      <c r="J11" s="187" t="s">
        <v>1384</v>
      </c>
      <c r="K11" s="188"/>
      <c r="L11" s="8" t="s">
        <v>1385</v>
      </c>
      <c r="M11" s="8" t="s">
        <v>268</v>
      </c>
    </row>
    <row r="12" spans="1:13" ht="15.75" x14ac:dyDescent="0.25">
      <c r="A12" s="2"/>
      <c r="B12" s="3"/>
      <c r="C12" s="11"/>
      <c r="D12" s="22"/>
      <c r="E12" s="4">
        <v>285.8</v>
      </c>
      <c r="F12" s="26" t="s">
        <v>1334</v>
      </c>
      <c r="H12" s="6">
        <v>43927</v>
      </c>
      <c r="I12" s="7">
        <v>27737.78</v>
      </c>
      <c r="J12" s="187" t="s">
        <v>46</v>
      </c>
      <c r="K12" s="188"/>
      <c r="L12" s="8" t="s">
        <v>1386</v>
      </c>
      <c r="M12" s="8" t="s">
        <v>268</v>
      </c>
    </row>
    <row r="13" spans="1:13" ht="15.75" x14ac:dyDescent="0.25">
      <c r="A13" s="2"/>
      <c r="B13" s="3"/>
      <c r="C13" s="11"/>
      <c r="D13" s="22">
        <v>43896</v>
      </c>
      <c r="E13" s="4">
        <v>30.5</v>
      </c>
      <c r="F13" s="26" t="s">
        <v>1378</v>
      </c>
      <c r="H13" s="6">
        <v>43928</v>
      </c>
      <c r="I13" s="7">
        <v>1000</v>
      </c>
      <c r="J13" s="187" t="s">
        <v>46</v>
      </c>
      <c r="K13" s="188"/>
      <c r="L13" s="8" t="s">
        <v>1408</v>
      </c>
      <c r="M13" s="8" t="s">
        <v>268</v>
      </c>
    </row>
    <row r="14" spans="1:13" ht="15.75" x14ac:dyDescent="0.25">
      <c r="A14" s="2"/>
      <c r="B14" s="3"/>
      <c r="C14" s="11"/>
      <c r="D14" s="22">
        <v>43896</v>
      </c>
      <c r="E14" s="4">
        <v>60.5</v>
      </c>
      <c r="F14" s="26" t="s">
        <v>1378</v>
      </c>
      <c r="H14" s="6"/>
      <c r="I14" s="7"/>
      <c r="J14" s="187"/>
      <c r="K14" s="188"/>
      <c r="L14" s="8"/>
      <c r="M14" s="8"/>
    </row>
    <row r="15" spans="1:13" ht="15.75" x14ac:dyDescent="0.25">
      <c r="A15" s="2"/>
      <c r="B15" s="3"/>
      <c r="C15" s="11"/>
      <c r="D15" s="22">
        <v>43900</v>
      </c>
      <c r="E15" s="4">
        <v>103.55</v>
      </c>
      <c r="F15" s="26" t="s">
        <v>1379</v>
      </c>
      <c r="H15" s="6"/>
      <c r="I15" s="7"/>
      <c r="J15" s="187"/>
      <c r="K15" s="188"/>
      <c r="L15" s="8"/>
      <c r="M15" s="8"/>
    </row>
    <row r="16" spans="1:13" ht="15.75" x14ac:dyDescent="0.25">
      <c r="A16" s="2"/>
      <c r="B16" s="2"/>
      <c r="C16" s="1"/>
      <c r="D16" s="22">
        <v>43900</v>
      </c>
      <c r="E16" s="4">
        <v>106.85</v>
      </c>
      <c r="F16" s="26" t="s">
        <v>1380</v>
      </c>
      <c r="H16" s="6"/>
      <c r="I16" s="7"/>
      <c r="J16" s="187"/>
      <c r="K16" s="188"/>
      <c r="L16" s="8"/>
      <c r="M16" s="8"/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/>
      <c r="I17" s="7"/>
      <c r="J17" s="187"/>
      <c r="K17" s="188"/>
      <c r="L17" s="8"/>
      <c r="M17" s="8"/>
    </row>
    <row r="18" spans="1:13" ht="15.75" x14ac:dyDescent="0.25">
      <c r="A18" s="2"/>
      <c r="B18" s="3"/>
      <c r="C18" s="1"/>
      <c r="D18" s="22"/>
      <c r="E18" s="4"/>
      <c r="F18" s="2"/>
      <c r="H18" s="6"/>
      <c r="I18" s="7"/>
      <c r="J18" s="187"/>
      <c r="K18" s="188"/>
      <c r="L18" s="8"/>
      <c r="M18" s="8"/>
    </row>
    <row r="19" spans="1:13" ht="15.75" x14ac:dyDescent="0.25">
      <c r="A19" s="2" t="s">
        <v>57</v>
      </c>
      <c r="B19" s="3">
        <f>B11-E25</f>
        <v>13633.759999999998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16177.14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2543.38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41800.629999999997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1383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43934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43920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43924</v>
      </c>
      <c r="I38" s="4">
        <v>6000</v>
      </c>
      <c r="J38" s="182" t="s">
        <v>1360</v>
      </c>
      <c r="K38" s="183"/>
      <c r="L38" s="180"/>
      <c r="M38" s="180"/>
    </row>
    <row r="39" spans="1:13" ht="15.75" x14ac:dyDescent="0.25">
      <c r="H39" s="6">
        <v>43847</v>
      </c>
      <c r="I39" s="35">
        <v>246.9</v>
      </c>
      <c r="J39" s="182" t="s">
        <v>1372</v>
      </c>
      <c r="K39" s="183"/>
      <c r="L39" s="180"/>
      <c r="M39" s="180"/>
    </row>
    <row r="40" spans="1:13" ht="15.75" x14ac:dyDescent="0.25">
      <c r="H40" s="6">
        <v>43907</v>
      </c>
      <c r="I40" s="35">
        <v>119.84</v>
      </c>
      <c r="J40" s="182" t="s">
        <v>262</v>
      </c>
      <c r="K40" s="183"/>
    </row>
    <row r="41" spans="1:13" ht="15.75" x14ac:dyDescent="0.25">
      <c r="H41" s="6">
        <v>43908</v>
      </c>
      <c r="I41" s="7">
        <v>205.49</v>
      </c>
      <c r="J41" s="182" t="s">
        <v>1374</v>
      </c>
      <c r="K41" s="183"/>
    </row>
    <row r="42" spans="1:13" ht="15.75" x14ac:dyDescent="0.25">
      <c r="H42" s="6">
        <v>43920</v>
      </c>
      <c r="I42" s="7">
        <v>125.49</v>
      </c>
      <c r="J42" s="182" t="s">
        <v>1114</v>
      </c>
      <c r="K42" s="183"/>
    </row>
    <row r="43" spans="1:13" ht="15.75" x14ac:dyDescent="0.25">
      <c r="H43" s="6">
        <v>43927</v>
      </c>
      <c r="I43" s="35">
        <v>118.44</v>
      </c>
      <c r="J43" s="182" t="s">
        <v>262</v>
      </c>
      <c r="K43" s="183"/>
    </row>
    <row r="44" spans="1:13" ht="15.75" x14ac:dyDescent="0.25">
      <c r="H44" s="6">
        <v>43922</v>
      </c>
      <c r="I44" s="35">
        <v>230.19</v>
      </c>
      <c r="J44" s="182" t="s">
        <v>1397</v>
      </c>
      <c r="K44" s="183"/>
    </row>
    <row r="45" spans="1:13" ht="15.75" x14ac:dyDescent="0.25">
      <c r="H45" s="6"/>
      <c r="I45" s="35"/>
      <c r="J45" s="182"/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J18:K18"/>
    <mergeCell ref="J20:K20"/>
    <mergeCell ref="J21:K21"/>
    <mergeCell ref="J19:K19"/>
    <mergeCell ref="J22:K22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50"/>
  <dimension ref="A1:M54"/>
  <sheetViews>
    <sheetView topLeftCell="F1" workbookViewId="0">
      <selection activeCell="L17" sqref="L17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1387</v>
      </c>
      <c r="B1" s="184"/>
      <c r="C1" s="10"/>
      <c r="D1" s="184" t="s">
        <v>55</v>
      </c>
      <c r="E1" s="184"/>
      <c r="F1" s="26" t="s">
        <v>1249</v>
      </c>
      <c r="H1" s="184" t="s">
        <v>1388</v>
      </c>
      <c r="I1" s="184"/>
      <c r="J1" s="184"/>
      <c r="K1" s="184"/>
      <c r="L1" s="184"/>
      <c r="M1" s="184"/>
    </row>
    <row r="2" spans="1:13" ht="18.75" x14ac:dyDescent="0.3">
      <c r="A2" s="184" t="s">
        <v>493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18634.849999999999</v>
      </c>
      <c r="C3" s="11"/>
      <c r="D3" s="22">
        <v>43746</v>
      </c>
      <c r="E3" s="4">
        <v>69.900000000000006</v>
      </c>
      <c r="F3" s="26" t="s">
        <v>1389</v>
      </c>
      <c r="H3" s="6">
        <v>43934</v>
      </c>
      <c r="I3" s="7">
        <v>200</v>
      </c>
      <c r="J3" s="187"/>
      <c r="K3" s="188"/>
      <c r="L3" s="8" t="s">
        <v>2232</v>
      </c>
      <c r="M3" s="8" t="s">
        <v>267</v>
      </c>
    </row>
    <row r="4" spans="1:13" ht="15.75" x14ac:dyDescent="0.25">
      <c r="A4" s="2" t="s">
        <v>3</v>
      </c>
      <c r="B4" s="3"/>
      <c r="C4" s="11"/>
      <c r="D4" s="22"/>
      <c r="E4" s="4"/>
      <c r="F4" s="26"/>
      <c r="H4" s="6">
        <v>43936</v>
      </c>
      <c r="I4" s="7">
        <v>1000</v>
      </c>
      <c r="J4" s="187" t="s">
        <v>46</v>
      </c>
      <c r="K4" s="188"/>
      <c r="L4" s="8" t="s">
        <v>1405</v>
      </c>
      <c r="M4" s="8" t="s">
        <v>268</v>
      </c>
    </row>
    <row r="5" spans="1:13" ht="15.75" x14ac:dyDescent="0.25">
      <c r="A5" s="2" t="s">
        <v>4</v>
      </c>
      <c r="B5" s="3">
        <f>SUM(I36:I54)</f>
        <v>3894.1400000000003</v>
      </c>
      <c r="C5" s="11"/>
      <c r="D5" s="22">
        <v>43799</v>
      </c>
      <c r="E5" s="4">
        <v>33.340000000000003</v>
      </c>
      <c r="F5" s="26" t="s">
        <v>1390</v>
      </c>
      <c r="H5" s="6">
        <v>43937</v>
      </c>
      <c r="I5" s="7">
        <v>500</v>
      </c>
      <c r="J5" s="187" t="s">
        <v>1399</v>
      </c>
      <c r="K5" s="188"/>
      <c r="L5" s="8" t="s">
        <v>1398</v>
      </c>
      <c r="M5" s="8" t="s">
        <v>267</v>
      </c>
    </row>
    <row r="6" spans="1:13" ht="15.75" x14ac:dyDescent="0.25">
      <c r="A6" s="2"/>
      <c r="B6" s="3"/>
      <c r="C6" s="11"/>
      <c r="D6" s="5">
        <v>43817</v>
      </c>
      <c r="E6" s="4">
        <v>185.99</v>
      </c>
      <c r="F6" s="26" t="s">
        <v>1391</v>
      </c>
      <c r="H6" s="6">
        <v>43938</v>
      </c>
      <c r="I6" s="7">
        <v>500</v>
      </c>
      <c r="J6" s="187" t="s">
        <v>1400</v>
      </c>
      <c r="K6" s="188"/>
      <c r="L6" s="8" t="s">
        <v>1401</v>
      </c>
      <c r="M6" s="8" t="s">
        <v>268</v>
      </c>
    </row>
    <row r="7" spans="1:13" ht="15.75" x14ac:dyDescent="0.25">
      <c r="A7" s="12" t="s">
        <v>5</v>
      </c>
      <c r="B7" s="25">
        <f>B3+B4-B5</f>
        <v>14740.71</v>
      </c>
      <c r="C7" s="11"/>
      <c r="D7" s="22">
        <v>43862</v>
      </c>
      <c r="E7" s="4">
        <v>83.35</v>
      </c>
      <c r="F7" s="26" t="s">
        <v>1392</v>
      </c>
      <c r="H7" s="6">
        <v>43938</v>
      </c>
      <c r="I7" s="7">
        <v>4495</v>
      </c>
      <c r="J7" s="187" t="s">
        <v>46</v>
      </c>
      <c r="K7" s="188"/>
      <c r="L7" s="8" t="s">
        <v>1402</v>
      </c>
      <c r="M7" s="8" t="s">
        <v>268</v>
      </c>
    </row>
    <row r="8" spans="1:13" ht="15.75" x14ac:dyDescent="0.25">
      <c r="A8" s="2"/>
      <c r="B8" s="3"/>
      <c r="C8" s="11"/>
      <c r="D8" s="22">
        <v>43864</v>
      </c>
      <c r="E8" s="4">
        <v>120.4</v>
      </c>
      <c r="F8" s="26" t="s">
        <v>1392</v>
      </c>
      <c r="H8" s="6">
        <v>43943</v>
      </c>
      <c r="I8" s="7">
        <v>2142.25</v>
      </c>
      <c r="J8" s="187" t="s">
        <v>855</v>
      </c>
      <c r="K8" s="188"/>
      <c r="L8" s="8" t="s">
        <v>1403</v>
      </c>
      <c r="M8" s="8" t="s">
        <v>268</v>
      </c>
    </row>
    <row r="9" spans="1:13" ht="15.75" x14ac:dyDescent="0.25">
      <c r="A9" s="2"/>
      <c r="B9" s="3"/>
      <c r="C9" s="11"/>
      <c r="D9" s="5">
        <v>43864</v>
      </c>
      <c r="E9" s="4">
        <v>176.2</v>
      </c>
      <c r="F9" s="50" t="s">
        <v>1393</v>
      </c>
      <c r="G9" s="42"/>
      <c r="H9" s="6">
        <v>43944</v>
      </c>
      <c r="I9" s="7">
        <v>1351.26</v>
      </c>
      <c r="J9" s="187" t="s">
        <v>46</v>
      </c>
      <c r="K9" s="188"/>
      <c r="L9" s="8" t="s">
        <v>1407</v>
      </c>
      <c r="M9" s="8" t="s">
        <v>268</v>
      </c>
    </row>
    <row r="10" spans="1:13" ht="15.75" x14ac:dyDescent="0.25">
      <c r="A10" s="2"/>
      <c r="B10" s="3"/>
      <c r="C10" s="11"/>
      <c r="D10" s="5">
        <v>43873</v>
      </c>
      <c r="E10" s="4">
        <v>148.93</v>
      </c>
      <c r="F10" s="26" t="s">
        <v>1394</v>
      </c>
      <c r="H10" s="6">
        <v>43944</v>
      </c>
      <c r="I10" s="7">
        <v>600</v>
      </c>
      <c r="J10" s="187" t="s">
        <v>1409</v>
      </c>
      <c r="K10" s="188"/>
      <c r="L10" s="8" t="s">
        <v>1337</v>
      </c>
      <c r="M10" s="8" t="s">
        <v>267</v>
      </c>
    </row>
    <row r="11" spans="1:13" ht="15.75" x14ac:dyDescent="0.25">
      <c r="A11" s="2" t="s">
        <v>59</v>
      </c>
      <c r="B11" s="3">
        <f>(B7-B9)/2</f>
        <v>7370.3549999999996</v>
      </c>
      <c r="C11" s="11"/>
      <c r="D11" s="22">
        <v>43900</v>
      </c>
      <c r="E11" s="4">
        <v>106.85</v>
      </c>
      <c r="F11" s="26" t="s">
        <v>1395</v>
      </c>
      <c r="H11" s="6">
        <v>24</v>
      </c>
      <c r="I11" s="7">
        <v>150</v>
      </c>
      <c r="J11" s="187" t="s">
        <v>855</v>
      </c>
      <c r="K11" s="188"/>
      <c r="L11" s="8" t="s">
        <v>419</v>
      </c>
      <c r="M11" s="8" t="s">
        <v>268</v>
      </c>
    </row>
    <row r="12" spans="1:13" ht="15.75" x14ac:dyDescent="0.25">
      <c r="A12" s="2"/>
      <c r="B12" s="3"/>
      <c r="C12" s="11"/>
      <c r="D12" s="22"/>
      <c r="E12" s="4">
        <v>104.2</v>
      </c>
      <c r="F12" s="26" t="s">
        <v>1404</v>
      </c>
      <c r="H12" s="6">
        <v>43950</v>
      </c>
      <c r="I12" s="7">
        <v>550</v>
      </c>
      <c r="J12" s="187" t="s">
        <v>46</v>
      </c>
      <c r="K12" s="188"/>
      <c r="L12" s="8" t="s">
        <v>1405</v>
      </c>
      <c r="M12" s="8" t="s">
        <v>268</v>
      </c>
    </row>
    <row r="13" spans="1:13" ht="15.75" x14ac:dyDescent="0.25">
      <c r="A13" s="2"/>
      <c r="B13" s="3"/>
      <c r="C13" s="11"/>
      <c r="D13" s="22"/>
      <c r="E13" s="4">
        <v>285.8</v>
      </c>
      <c r="F13" s="26" t="s">
        <v>1334</v>
      </c>
      <c r="H13" s="6">
        <v>43950</v>
      </c>
      <c r="I13" s="7">
        <v>100</v>
      </c>
      <c r="J13" s="187" t="s">
        <v>1412</v>
      </c>
      <c r="K13" s="188"/>
      <c r="L13" s="8" t="s">
        <v>1405</v>
      </c>
      <c r="M13" s="8" t="s">
        <v>267</v>
      </c>
    </row>
    <row r="14" spans="1:13" ht="15.75" x14ac:dyDescent="0.25">
      <c r="A14" s="2"/>
      <c r="B14" s="3"/>
      <c r="C14" s="11"/>
      <c r="D14" s="22">
        <v>43922</v>
      </c>
      <c r="E14" s="4">
        <v>259.74</v>
      </c>
      <c r="F14" s="26" t="s">
        <v>1411</v>
      </c>
      <c r="H14" s="6">
        <v>43956</v>
      </c>
      <c r="I14" s="7">
        <v>500</v>
      </c>
      <c r="J14" s="187" t="s">
        <v>568</v>
      </c>
      <c r="K14" s="188"/>
      <c r="L14" s="8" t="s">
        <v>522</v>
      </c>
      <c r="M14" s="8" t="s">
        <v>267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43956</v>
      </c>
      <c r="I15" s="7">
        <v>500</v>
      </c>
      <c r="J15" s="187" t="s">
        <v>1400</v>
      </c>
      <c r="K15" s="188"/>
      <c r="L15" s="8" t="s">
        <v>1401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26"/>
      <c r="H16" s="6">
        <v>43956</v>
      </c>
      <c r="I16" s="7">
        <v>100</v>
      </c>
      <c r="J16" s="187" t="s">
        <v>855</v>
      </c>
      <c r="K16" s="188"/>
      <c r="L16" s="8" t="s">
        <v>419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43956</v>
      </c>
      <c r="I17" s="7">
        <v>1000</v>
      </c>
      <c r="J17" s="187" t="s">
        <v>1413</v>
      </c>
      <c r="K17" s="188"/>
      <c r="L17" s="8" t="s">
        <v>1700</v>
      </c>
      <c r="M17" s="8" t="s">
        <v>267</v>
      </c>
    </row>
    <row r="18" spans="1:13" ht="15.75" x14ac:dyDescent="0.25">
      <c r="A18" s="2"/>
      <c r="B18" s="3"/>
      <c r="C18" s="1"/>
      <c r="D18" s="22"/>
      <c r="E18" s="4"/>
      <c r="F18" s="2"/>
      <c r="H18" s="6">
        <v>43956</v>
      </c>
      <c r="I18" s="7">
        <v>3246.34</v>
      </c>
      <c r="J18" s="187" t="s">
        <v>46</v>
      </c>
      <c r="K18" s="188"/>
      <c r="L18" s="8" t="s">
        <v>1386</v>
      </c>
      <c r="M18" s="8" t="s">
        <v>268</v>
      </c>
    </row>
    <row r="19" spans="1:13" ht="15.75" x14ac:dyDescent="0.25">
      <c r="A19" s="2" t="s">
        <v>57</v>
      </c>
      <c r="B19" s="3">
        <f>B11-E25</f>
        <v>5795.6549999999997</v>
      </c>
      <c r="C19" s="1"/>
      <c r="D19" s="5"/>
      <c r="E19" s="4"/>
      <c r="F19" s="26"/>
      <c r="H19" s="6">
        <v>43957</v>
      </c>
      <c r="I19" s="7">
        <v>1700</v>
      </c>
      <c r="J19" s="187" t="s">
        <v>855</v>
      </c>
      <c r="K19" s="188"/>
      <c r="L19" s="8" t="s">
        <v>1414</v>
      </c>
      <c r="M19" s="8" t="s">
        <v>268</v>
      </c>
    </row>
    <row r="20" spans="1:13" ht="15.75" x14ac:dyDescent="0.25">
      <c r="A20" s="2" t="s">
        <v>12</v>
      </c>
      <c r="B20" s="3">
        <f>B11</f>
        <v>7370.3549999999996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1574.7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18634.849999999999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1416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43963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43945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43847</v>
      </c>
      <c r="I38" s="35">
        <v>246.9</v>
      </c>
      <c r="J38" s="182" t="s">
        <v>1396</v>
      </c>
      <c r="K38" s="183"/>
      <c r="L38" s="180"/>
      <c r="M38" s="180"/>
    </row>
    <row r="39" spans="1:13" ht="15.75" x14ac:dyDescent="0.25">
      <c r="H39" s="6">
        <v>43945</v>
      </c>
      <c r="I39" s="35">
        <v>87.57</v>
      </c>
      <c r="J39" s="182" t="s">
        <v>1186</v>
      </c>
      <c r="K39" s="183"/>
      <c r="L39" s="180"/>
      <c r="M39" s="180"/>
    </row>
    <row r="40" spans="1:13" ht="15.75" x14ac:dyDescent="0.25">
      <c r="H40" s="6">
        <v>43945</v>
      </c>
      <c r="I40" s="35">
        <v>94.13</v>
      </c>
      <c r="J40" s="182" t="s">
        <v>1406</v>
      </c>
      <c r="K40" s="183"/>
    </row>
    <row r="41" spans="1:13" ht="15.75" x14ac:dyDescent="0.25">
      <c r="H41" s="6">
        <v>43893</v>
      </c>
      <c r="I41" s="7">
        <v>949.46</v>
      </c>
      <c r="J41" s="182" t="s">
        <v>1410</v>
      </c>
      <c r="K41" s="183"/>
    </row>
    <row r="42" spans="1:13" ht="15.75" x14ac:dyDescent="0.25">
      <c r="H42" s="6">
        <v>43956</v>
      </c>
      <c r="I42" s="7">
        <v>116.08</v>
      </c>
      <c r="J42" s="182" t="s">
        <v>1075</v>
      </c>
      <c r="K42" s="183"/>
    </row>
    <row r="43" spans="1:13" ht="15.75" x14ac:dyDescent="0.25">
      <c r="H43" s="6"/>
      <c r="I43" s="35"/>
      <c r="J43" s="182"/>
      <c r="K43" s="183"/>
    </row>
    <row r="44" spans="1:13" ht="15.75" x14ac:dyDescent="0.25">
      <c r="H44" s="6"/>
      <c r="I44" s="35"/>
      <c r="J44" s="182"/>
      <c r="K44" s="183"/>
    </row>
    <row r="45" spans="1:13" ht="15.75" x14ac:dyDescent="0.25">
      <c r="H45" s="6"/>
      <c r="I45" s="35"/>
      <c r="J45" s="182"/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51:K51"/>
    <mergeCell ref="J52:K52"/>
    <mergeCell ref="J53:K53"/>
    <mergeCell ref="J54:K54"/>
    <mergeCell ref="J46:K46"/>
    <mergeCell ref="L46:M46"/>
    <mergeCell ref="J47:K47"/>
    <mergeCell ref="J48:K48"/>
    <mergeCell ref="J49:K49"/>
    <mergeCell ref="J50:K50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A33:B33"/>
    <mergeCell ref="C33:D33"/>
    <mergeCell ref="E33:F33"/>
    <mergeCell ref="H34:K34"/>
    <mergeCell ref="L34:M34"/>
    <mergeCell ref="J35:K35"/>
    <mergeCell ref="L35:M35"/>
    <mergeCell ref="J30:K30"/>
    <mergeCell ref="L30:M30"/>
    <mergeCell ref="L31:M31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18:K18"/>
    <mergeCell ref="J20:K20"/>
    <mergeCell ref="J21:K21"/>
    <mergeCell ref="J19:K19"/>
    <mergeCell ref="J22:K22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9:K9"/>
    <mergeCell ref="J7:K7"/>
    <mergeCell ref="J8:K8"/>
    <mergeCell ref="J6:K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Planilha51"/>
  <dimension ref="A1:M54"/>
  <sheetViews>
    <sheetView topLeftCell="F1" workbookViewId="0">
      <selection activeCell="L3" sqref="L3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1415</v>
      </c>
      <c r="B1" s="184"/>
      <c r="C1" s="10"/>
      <c r="D1" s="184" t="s">
        <v>55</v>
      </c>
      <c r="E1" s="184"/>
      <c r="F1" s="26" t="s">
        <v>1249</v>
      </c>
      <c r="H1" s="184" t="s">
        <v>1417</v>
      </c>
      <c r="I1" s="184"/>
      <c r="J1" s="184"/>
      <c r="K1" s="184"/>
      <c r="L1" s="184"/>
      <c r="M1" s="184"/>
    </row>
    <row r="2" spans="1:13" ht="18.75" x14ac:dyDescent="0.3">
      <c r="A2" s="184" t="s">
        <v>513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42245.659999999996</v>
      </c>
      <c r="C3" s="11"/>
      <c r="D3" s="22">
        <v>43746</v>
      </c>
      <c r="E3" s="4">
        <v>69.900000000000006</v>
      </c>
      <c r="F3" s="26" t="s">
        <v>1429</v>
      </c>
      <c r="H3" s="6">
        <v>43962</v>
      </c>
      <c r="I3" s="7">
        <v>1298.83</v>
      </c>
      <c r="J3" s="187" t="s">
        <v>1419</v>
      </c>
      <c r="K3" s="188"/>
      <c r="L3" s="8" t="s">
        <v>1420</v>
      </c>
      <c r="M3" s="8" t="s">
        <v>267</v>
      </c>
    </row>
    <row r="4" spans="1:13" ht="15.75" x14ac:dyDescent="0.25">
      <c r="A4" s="2" t="s">
        <v>3</v>
      </c>
      <c r="B4" s="3"/>
      <c r="C4" s="11"/>
      <c r="D4" s="22">
        <v>43799</v>
      </c>
      <c r="E4" s="4">
        <v>33.340000000000003</v>
      </c>
      <c r="F4" s="26" t="s">
        <v>1428</v>
      </c>
      <c r="H4" s="6">
        <v>43962</v>
      </c>
      <c r="I4" s="7">
        <v>349.14</v>
      </c>
      <c r="J4" s="187" t="s">
        <v>46</v>
      </c>
      <c r="K4" s="188"/>
      <c r="L4" s="8" t="s">
        <v>1331</v>
      </c>
      <c r="M4" s="8" t="s">
        <v>268</v>
      </c>
    </row>
    <row r="5" spans="1:13" ht="15.75" x14ac:dyDescent="0.25">
      <c r="A5" s="2" t="s">
        <v>4</v>
      </c>
      <c r="B5" s="3">
        <f>SUM(I36:I54)</f>
        <v>6201.56</v>
      </c>
      <c r="C5" s="11"/>
      <c r="D5" s="5">
        <v>43817</v>
      </c>
      <c r="E5" s="4">
        <v>185.99</v>
      </c>
      <c r="F5" s="26" t="s">
        <v>1427</v>
      </c>
      <c r="H5" s="6">
        <v>43966</v>
      </c>
      <c r="I5" s="7">
        <v>100</v>
      </c>
      <c r="J5" s="187"/>
      <c r="K5" s="188"/>
      <c r="L5" s="8" t="s">
        <v>2232</v>
      </c>
      <c r="M5" s="8" t="s">
        <v>267</v>
      </c>
    </row>
    <row r="6" spans="1:13" ht="15.75" x14ac:dyDescent="0.25">
      <c r="A6" s="2"/>
      <c r="B6" s="3"/>
      <c r="C6" s="11"/>
      <c r="D6" s="22">
        <v>43862</v>
      </c>
      <c r="E6" s="4">
        <v>83.35</v>
      </c>
      <c r="F6" s="26" t="s">
        <v>1426</v>
      </c>
      <c r="H6" s="6">
        <v>43970</v>
      </c>
      <c r="I6" s="7">
        <v>2928.3</v>
      </c>
      <c r="J6" s="187" t="s">
        <v>855</v>
      </c>
      <c r="K6" s="188"/>
      <c r="L6" s="8" t="s">
        <v>1431</v>
      </c>
      <c r="M6" s="8" t="s">
        <v>268</v>
      </c>
    </row>
    <row r="7" spans="1:13" ht="15.75" x14ac:dyDescent="0.25">
      <c r="A7" s="12" t="s">
        <v>5</v>
      </c>
      <c r="B7" s="25">
        <f>B3+B4-B5</f>
        <v>36044.1</v>
      </c>
      <c r="C7" s="11"/>
      <c r="D7" s="22">
        <v>43864</v>
      </c>
      <c r="E7" s="4">
        <v>120.4</v>
      </c>
      <c r="F7" s="26" t="s">
        <v>1426</v>
      </c>
      <c r="H7" s="6">
        <v>43971</v>
      </c>
      <c r="I7" s="7">
        <v>300</v>
      </c>
      <c r="J7" s="187" t="s">
        <v>983</v>
      </c>
      <c r="K7" s="188"/>
      <c r="L7" s="8" t="s">
        <v>1337</v>
      </c>
      <c r="M7" s="8" t="s">
        <v>267</v>
      </c>
    </row>
    <row r="8" spans="1:13" ht="15.75" x14ac:dyDescent="0.25">
      <c r="A8" s="2"/>
      <c r="B8" s="3"/>
      <c r="C8" s="11"/>
      <c r="D8" s="5">
        <v>43864</v>
      </c>
      <c r="E8" s="4">
        <v>176.2</v>
      </c>
      <c r="F8" s="50" t="s">
        <v>1425</v>
      </c>
      <c r="H8" s="6">
        <v>43973</v>
      </c>
      <c r="I8" s="7">
        <v>1351.27</v>
      </c>
      <c r="J8" s="187" t="s">
        <v>46</v>
      </c>
      <c r="K8" s="188"/>
      <c r="L8" s="8" t="s">
        <v>1407</v>
      </c>
      <c r="M8" s="8" t="s">
        <v>268</v>
      </c>
    </row>
    <row r="9" spans="1:13" ht="15.75" x14ac:dyDescent="0.25">
      <c r="A9" s="2"/>
      <c r="B9" s="3"/>
      <c r="C9" s="11"/>
      <c r="D9" s="22">
        <v>43900</v>
      </c>
      <c r="E9" s="4">
        <v>106.85</v>
      </c>
      <c r="F9" s="26" t="s">
        <v>1424</v>
      </c>
      <c r="G9" s="42"/>
      <c r="H9" s="6">
        <v>43980</v>
      </c>
      <c r="I9" s="7">
        <v>3615</v>
      </c>
      <c r="J9" s="187" t="s">
        <v>763</v>
      </c>
      <c r="K9" s="188"/>
      <c r="L9" s="8" t="s">
        <v>1434</v>
      </c>
      <c r="M9" s="8" t="s">
        <v>267</v>
      </c>
    </row>
    <row r="10" spans="1:13" ht="15.75" x14ac:dyDescent="0.25">
      <c r="A10" s="2"/>
      <c r="B10" s="3"/>
      <c r="C10" s="11"/>
      <c r="D10" s="22">
        <v>43978</v>
      </c>
      <c r="E10" s="53">
        <v>285.8</v>
      </c>
      <c r="F10" s="54" t="s">
        <v>1334</v>
      </c>
      <c r="H10" s="6">
        <v>43983</v>
      </c>
      <c r="I10" s="7">
        <v>500</v>
      </c>
      <c r="J10" s="187" t="s">
        <v>763</v>
      </c>
      <c r="K10" s="188"/>
      <c r="L10" s="8" t="s">
        <v>1433</v>
      </c>
      <c r="M10" s="8" t="s">
        <v>267</v>
      </c>
    </row>
    <row r="11" spans="1:13" ht="15.75" x14ac:dyDescent="0.25">
      <c r="A11" s="2" t="s">
        <v>59</v>
      </c>
      <c r="B11" s="3">
        <f>(B7-B9)/2</f>
        <v>18022.05</v>
      </c>
      <c r="C11" s="11"/>
      <c r="D11" s="22">
        <v>43922</v>
      </c>
      <c r="E11" s="4">
        <v>259.74</v>
      </c>
      <c r="F11" s="26" t="s">
        <v>1423</v>
      </c>
      <c r="H11" s="6">
        <v>43983</v>
      </c>
      <c r="I11" s="7">
        <v>976.1</v>
      </c>
      <c r="J11" s="187" t="s">
        <v>1439</v>
      </c>
      <c r="K11" s="188"/>
      <c r="L11" s="8" t="s">
        <v>1431</v>
      </c>
      <c r="M11" s="8" t="s">
        <v>267</v>
      </c>
    </row>
    <row r="12" spans="1:13" ht="15.75" x14ac:dyDescent="0.25">
      <c r="A12" s="2"/>
      <c r="B12" s="3"/>
      <c r="C12" s="11"/>
      <c r="D12" s="22">
        <v>43980</v>
      </c>
      <c r="E12" s="4">
        <v>3615</v>
      </c>
      <c r="F12" s="26" t="s">
        <v>1435</v>
      </c>
      <c r="H12" s="6">
        <v>43986</v>
      </c>
      <c r="I12" s="7">
        <v>27737.78</v>
      </c>
      <c r="J12" s="187" t="s">
        <v>46</v>
      </c>
      <c r="K12" s="188"/>
      <c r="L12" s="8" t="s">
        <v>317</v>
      </c>
      <c r="M12" s="8" t="s">
        <v>268</v>
      </c>
    </row>
    <row r="13" spans="1:13" ht="15.75" x14ac:dyDescent="0.25">
      <c r="A13" s="2"/>
      <c r="B13" s="3"/>
      <c r="C13" s="11"/>
      <c r="D13" s="22">
        <v>43990</v>
      </c>
      <c r="E13" s="53">
        <v>115.23</v>
      </c>
      <c r="F13" s="54" t="s">
        <v>158</v>
      </c>
      <c r="H13" s="6">
        <v>43987</v>
      </c>
      <c r="I13" s="7">
        <v>300</v>
      </c>
      <c r="J13" s="187" t="s">
        <v>875</v>
      </c>
      <c r="K13" s="188"/>
      <c r="L13" s="8" t="s">
        <v>1153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43990</v>
      </c>
      <c r="I14" s="7">
        <v>150</v>
      </c>
      <c r="J14" s="187" t="s">
        <v>855</v>
      </c>
      <c r="K14" s="188"/>
      <c r="L14" s="8" t="s">
        <v>419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43991</v>
      </c>
      <c r="I15" s="7">
        <v>976.1</v>
      </c>
      <c r="J15" s="187" t="s">
        <v>1438</v>
      </c>
      <c r="K15" s="188"/>
      <c r="L15" s="8" t="s">
        <v>1431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26"/>
      <c r="H16" s="6">
        <v>43991</v>
      </c>
      <c r="I16" s="7">
        <v>314</v>
      </c>
      <c r="J16" s="187" t="s">
        <v>46</v>
      </c>
      <c r="K16" s="188"/>
      <c r="L16" s="8" t="s">
        <v>1408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43992</v>
      </c>
      <c r="I17" s="7">
        <v>1000</v>
      </c>
      <c r="J17" s="187" t="s">
        <v>46</v>
      </c>
      <c r="K17" s="188"/>
      <c r="L17" s="8" t="s">
        <v>1050</v>
      </c>
      <c r="M17" s="8" t="s">
        <v>268</v>
      </c>
    </row>
    <row r="18" spans="1:13" ht="15.75" x14ac:dyDescent="0.25">
      <c r="A18" s="2"/>
      <c r="B18" s="3"/>
      <c r="C18" s="1"/>
      <c r="D18" s="22"/>
      <c r="E18" s="4"/>
      <c r="F18" s="2"/>
      <c r="H18" s="6">
        <v>43992</v>
      </c>
      <c r="I18" s="7">
        <v>349.14</v>
      </c>
      <c r="J18" s="187" t="s">
        <v>46</v>
      </c>
      <c r="K18" s="188"/>
      <c r="L18" s="8" t="s">
        <v>1331</v>
      </c>
      <c r="M18" s="8" t="s">
        <v>268</v>
      </c>
    </row>
    <row r="19" spans="1:13" ht="15.75" x14ac:dyDescent="0.25">
      <c r="A19" s="2" t="s">
        <v>57</v>
      </c>
      <c r="B19" s="3">
        <f>B11-E25</f>
        <v>12970.25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18022.05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5051.7999999999993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42245.659999999996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1418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43990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43987</v>
      </c>
      <c r="I37" s="7">
        <v>1500</v>
      </c>
      <c r="J37" s="182" t="s">
        <v>173</v>
      </c>
      <c r="K37" s="183"/>
      <c r="L37" s="18"/>
      <c r="M37" s="18"/>
    </row>
    <row r="38" spans="1:13" ht="15.75" x14ac:dyDescent="0.25">
      <c r="H38" s="6">
        <v>43847</v>
      </c>
      <c r="I38" s="35">
        <v>246.9</v>
      </c>
      <c r="J38" s="182" t="s">
        <v>1421</v>
      </c>
      <c r="K38" s="183"/>
      <c r="L38" s="180"/>
      <c r="M38" s="180"/>
    </row>
    <row r="39" spans="1:13" ht="15.75" x14ac:dyDescent="0.25">
      <c r="H39" s="6">
        <v>43893</v>
      </c>
      <c r="I39" s="7">
        <v>474.73</v>
      </c>
      <c r="J39" s="182" t="s">
        <v>1422</v>
      </c>
      <c r="K39" s="183"/>
      <c r="L39" s="180"/>
      <c r="M39" s="180"/>
    </row>
    <row r="40" spans="1:13" ht="15.75" x14ac:dyDescent="0.25">
      <c r="H40" s="6">
        <v>43969</v>
      </c>
      <c r="I40" s="35">
        <v>244.71</v>
      </c>
      <c r="J40" s="182" t="s">
        <v>1430</v>
      </c>
      <c r="K40" s="183"/>
    </row>
    <row r="41" spans="1:13" ht="15.75" x14ac:dyDescent="0.25">
      <c r="H41" s="6">
        <v>43978</v>
      </c>
      <c r="I41" s="7">
        <v>440</v>
      </c>
      <c r="J41" s="182" t="s">
        <v>1432</v>
      </c>
      <c r="K41" s="183"/>
    </row>
    <row r="42" spans="1:13" ht="15.75" x14ac:dyDescent="0.25">
      <c r="H42" s="6"/>
      <c r="I42" s="7">
        <v>1400</v>
      </c>
      <c r="J42" s="182" t="s">
        <v>1436</v>
      </c>
      <c r="K42" s="183"/>
    </row>
    <row r="43" spans="1:13" ht="15.75" x14ac:dyDescent="0.25">
      <c r="H43" s="6"/>
      <c r="I43" s="35">
        <v>550</v>
      </c>
      <c r="J43" s="182" t="s">
        <v>1437</v>
      </c>
      <c r="K43" s="183"/>
    </row>
    <row r="44" spans="1:13" ht="15.75" x14ac:dyDescent="0.25">
      <c r="H44" s="6">
        <v>43991</v>
      </c>
      <c r="I44" s="35">
        <v>450</v>
      </c>
      <c r="J44" s="182" t="s">
        <v>1440</v>
      </c>
      <c r="K44" s="183"/>
    </row>
    <row r="45" spans="1:13" ht="15.75" x14ac:dyDescent="0.25">
      <c r="H45" s="6">
        <v>43991</v>
      </c>
      <c r="I45" s="35">
        <v>116.08</v>
      </c>
      <c r="J45" s="182" t="s">
        <v>262</v>
      </c>
      <c r="K45" s="183"/>
    </row>
    <row r="46" spans="1:13" ht="15.75" x14ac:dyDescent="0.25">
      <c r="H46" s="6">
        <v>43991</v>
      </c>
      <c r="I46" s="35">
        <v>179.14</v>
      </c>
      <c r="J46" s="182" t="s">
        <v>1441</v>
      </c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J18:K18"/>
    <mergeCell ref="J20:K20"/>
    <mergeCell ref="J21:K21"/>
    <mergeCell ref="J19:K19"/>
    <mergeCell ref="J22:K22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Planilha52"/>
  <dimension ref="A1:M54"/>
  <sheetViews>
    <sheetView topLeftCell="H1" workbookViewId="0">
      <selection activeCell="H3" sqref="H3:L3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1442</v>
      </c>
      <c r="B1" s="184"/>
      <c r="C1" s="10"/>
      <c r="D1" s="184" t="s">
        <v>55</v>
      </c>
      <c r="E1" s="184"/>
      <c r="F1" s="26" t="s">
        <v>1249</v>
      </c>
      <c r="H1" s="184" t="s">
        <v>1484</v>
      </c>
      <c r="I1" s="184"/>
      <c r="J1" s="184"/>
      <c r="K1" s="184"/>
      <c r="L1" s="184"/>
      <c r="M1" s="184"/>
    </row>
    <row r="2" spans="1:13" ht="18.75" x14ac:dyDescent="0.3">
      <c r="A2" s="184" t="s">
        <v>590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50731.299999999996</v>
      </c>
      <c r="C3" s="11"/>
      <c r="D3" s="22">
        <v>43746</v>
      </c>
      <c r="E3" s="4">
        <v>69.900000000000006</v>
      </c>
      <c r="F3" s="26" t="s">
        <v>1443</v>
      </c>
      <c r="H3" s="6">
        <v>43997</v>
      </c>
      <c r="I3" s="7">
        <v>100</v>
      </c>
      <c r="J3" s="187" t="s">
        <v>165</v>
      </c>
      <c r="K3" s="188"/>
      <c r="L3" s="8" t="s">
        <v>1452</v>
      </c>
      <c r="M3" s="8" t="s">
        <v>267</v>
      </c>
    </row>
    <row r="4" spans="1:13" ht="15.75" x14ac:dyDescent="0.25">
      <c r="A4" s="2" t="s">
        <v>3</v>
      </c>
      <c r="B4" s="3"/>
      <c r="C4" s="11"/>
      <c r="D4" s="22">
        <v>43799</v>
      </c>
      <c r="E4" s="4">
        <v>33.340000000000003</v>
      </c>
      <c r="F4" s="26" t="s">
        <v>1444</v>
      </c>
      <c r="H4" s="6">
        <v>43997</v>
      </c>
      <c r="I4" s="7">
        <v>3000</v>
      </c>
      <c r="J4" s="187" t="s">
        <v>1454</v>
      </c>
      <c r="K4" s="188"/>
      <c r="L4" s="8" t="s">
        <v>1455</v>
      </c>
      <c r="M4" s="8" t="s">
        <v>267</v>
      </c>
    </row>
    <row r="5" spans="1:13" ht="15.75" x14ac:dyDescent="0.25">
      <c r="A5" s="2" t="s">
        <v>4</v>
      </c>
      <c r="B5" s="3">
        <f>SUM(I36:I54)</f>
        <v>8925.32</v>
      </c>
      <c r="C5" s="11"/>
      <c r="D5" s="5">
        <v>43817</v>
      </c>
      <c r="E5" s="4">
        <v>185.99</v>
      </c>
      <c r="F5" s="26" t="s">
        <v>1445</v>
      </c>
      <c r="H5" s="6">
        <v>43997</v>
      </c>
      <c r="I5" s="7">
        <v>5800</v>
      </c>
      <c r="J5" s="187" t="s">
        <v>46</v>
      </c>
      <c r="K5" s="188"/>
      <c r="L5" s="8" t="s">
        <v>1456</v>
      </c>
      <c r="M5" s="8" t="s">
        <v>268</v>
      </c>
    </row>
    <row r="6" spans="1:13" ht="15.75" x14ac:dyDescent="0.25">
      <c r="A6" s="2"/>
      <c r="B6" s="3"/>
      <c r="C6" s="11"/>
      <c r="D6" s="22">
        <v>43862</v>
      </c>
      <c r="E6" s="4">
        <v>83.35</v>
      </c>
      <c r="F6" s="26" t="s">
        <v>1446</v>
      </c>
      <c r="H6" s="6">
        <v>43999</v>
      </c>
      <c r="I6" s="7">
        <v>976.1</v>
      </c>
      <c r="J6" s="187" t="s">
        <v>855</v>
      </c>
      <c r="K6" s="188"/>
      <c r="L6" s="8" t="s">
        <v>1431</v>
      </c>
      <c r="M6" s="8" t="s">
        <v>268</v>
      </c>
    </row>
    <row r="7" spans="1:13" ht="15.75" x14ac:dyDescent="0.25">
      <c r="A7" s="12" t="s">
        <v>5</v>
      </c>
      <c r="B7" s="25">
        <f>B3+B4-B5</f>
        <v>41805.979999999996</v>
      </c>
      <c r="C7" s="11"/>
      <c r="D7" s="22">
        <v>43864</v>
      </c>
      <c r="E7" s="4">
        <v>120.4</v>
      </c>
      <c r="F7" s="26" t="s">
        <v>1446</v>
      </c>
      <c r="H7" s="6">
        <v>43999</v>
      </c>
      <c r="I7" s="7">
        <v>750</v>
      </c>
      <c r="J7" s="187" t="s">
        <v>1457</v>
      </c>
      <c r="K7" s="188"/>
      <c r="L7" s="8" t="s">
        <v>1458</v>
      </c>
      <c r="M7" s="8" t="s">
        <v>267</v>
      </c>
    </row>
    <row r="8" spans="1:13" ht="15.75" x14ac:dyDescent="0.25">
      <c r="A8" s="2"/>
      <c r="B8" s="3"/>
      <c r="C8" s="11"/>
      <c r="D8" s="5">
        <v>43864</v>
      </c>
      <c r="E8" s="4">
        <v>176.2</v>
      </c>
      <c r="F8" s="50" t="s">
        <v>1447</v>
      </c>
      <c r="H8" s="6">
        <v>44000</v>
      </c>
      <c r="I8" s="7">
        <v>3914.03</v>
      </c>
      <c r="J8" s="187" t="s">
        <v>855</v>
      </c>
      <c r="K8" s="188"/>
      <c r="L8" s="8" t="s">
        <v>965</v>
      </c>
      <c r="M8" s="8" t="s">
        <v>268</v>
      </c>
    </row>
    <row r="9" spans="1:13" ht="15.75" x14ac:dyDescent="0.25">
      <c r="A9" s="2"/>
      <c r="B9" s="3"/>
      <c r="C9" s="11"/>
      <c r="D9" s="22">
        <v>43900</v>
      </c>
      <c r="E9" s="4">
        <v>106.85</v>
      </c>
      <c r="F9" s="26" t="s">
        <v>1448</v>
      </c>
      <c r="G9" s="42"/>
      <c r="H9" s="6">
        <v>44000</v>
      </c>
      <c r="I9" s="7">
        <v>4298.88</v>
      </c>
      <c r="J9" s="187" t="s">
        <v>855</v>
      </c>
      <c r="K9" s="188"/>
      <c r="L9" s="8" t="s">
        <v>1459</v>
      </c>
      <c r="M9" s="8" t="s">
        <v>268</v>
      </c>
    </row>
    <row r="10" spans="1:13" ht="15.75" x14ac:dyDescent="0.25">
      <c r="A10" s="2"/>
      <c r="B10" s="3"/>
      <c r="C10" s="11"/>
      <c r="D10" s="22">
        <v>43922</v>
      </c>
      <c r="E10" s="4">
        <v>259.74</v>
      </c>
      <c r="F10" s="26" t="s">
        <v>1449</v>
      </c>
      <c r="H10" s="6">
        <v>44000</v>
      </c>
      <c r="I10" s="7">
        <v>1952.2</v>
      </c>
      <c r="J10" s="187" t="s">
        <v>1460</v>
      </c>
      <c r="K10" s="188"/>
      <c r="L10" s="8" t="s">
        <v>1431</v>
      </c>
      <c r="M10" s="8" t="s">
        <v>267</v>
      </c>
    </row>
    <row r="11" spans="1:13" ht="15.75" x14ac:dyDescent="0.25">
      <c r="A11" s="2" t="s">
        <v>59</v>
      </c>
      <c r="B11" s="3">
        <f>(B7-B9)/2</f>
        <v>20902.989999999998</v>
      </c>
      <c r="C11" s="11"/>
      <c r="D11" s="22"/>
      <c r="E11" s="4"/>
      <c r="F11" s="26"/>
      <c r="H11" s="6">
        <v>44001</v>
      </c>
      <c r="I11" s="7">
        <v>3606.61</v>
      </c>
      <c r="J11" s="187" t="s">
        <v>855</v>
      </c>
      <c r="K11" s="188"/>
      <c r="L11" s="8" t="s">
        <v>1431</v>
      </c>
      <c r="M11" s="8" t="s">
        <v>268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44001</v>
      </c>
      <c r="I12" s="7">
        <v>300</v>
      </c>
      <c r="J12" s="187" t="s">
        <v>983</v>
      </c>
      <c r="K12" s="188"/>
      <c r="L12" s="8" t="s">
        <v>1337</v>
      </c>
      <c r="M12" s="8" t="s">
        <v>267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44001</v>
      </c>
      <c r="I13" s="7">
        <v>500</v>
      </c>
      <c r="J13" s="187" t="s">
        <v>983</v>
      </c>
      <c r="K13" s="188"/>
      <c r="L13" s="8" t="s">
        <v>192</v>
      </c>
      <c r="M13" s="8" t="s">
        <v>267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44005</v>
      </c>
      <c r="I14" s="7">
        <v>375</v>
      </c>
      <c r="J14" s="187" t="s">
        <v>1464</v>
      </c>
      <c r="K14" s="188"/>
      <c r="L14" s="8" t="s">
        <v>1463</v>
      </c>
      <c r="M14" s="8" t="s">
        <v>267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44006</v>
      </c>
      <c r="I15" s="7">
        <v>1000</v>
      </c>
      <c r="J15" s="187" t="s">
        <v>46</v>
      </c>
      <c r="K15" s="188"/>
      <c r="L15" s="8" t="s">
        <v>1465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44006</v>
      </c>
      <c r="I16" s="7">
        <v>1154.52</v>
      </c>
      <c r="J16" s="187" t="s">
        <v>763</v>
      </c>
      <c r="K16" s="188"/>
      <c r="L16" s="8" t="s">
        <v>1466</v>
      </c>
      <c r="M16" s="8" t="s">
        <v>267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44007</v>
      </c>
      <c r="I17" s="7">
        <v>500</v>
      </c>
      <c r="J17" s="187" t="s">
        <v>1467</v>
      </c>
      <c r="K17" s="188"/>
      <c r="L17" s="8" t="s">
        <v>1433</v>
      </c>
      <c r="M17" s="8" t="s">
        <v>267</v>
      </c>
    </row>
    <row r="18" spans="1:13" ht="15.75" x14ac:dyDescent="0.25">
      <c r="A18" s="2"/>
      <c r="B18" s="3"/>
      <c r="C18" s="1"/>
      <c r="D18" s="22"/>
      <c r="E18" s="4"/>
      <c r="F18" s="2"/>
      <c r="H18" s="6">
        <v>44008</v>
      </c>
      <c r="I18" s="7">
        <v>7935.45</v>
      </c>
      <c r="J18" s="187" t="s">
        <v>46</v>
      </c>
      <c r="K18" s="188"/>
      <c r="L18" s="8" t="s">
        <v>1474</v>
      </c>
      <c r="M18" s="8" t="s">
        <v>267</v>
      </c>
    </row>
    <row r="19" spans="1:13" ht="15.75" x14ac:dyDescent="0.25">
      <c r="A19" s="2" t="s">
        <v>57</v>
      </c>
      <c r="B19" s="3">
        <f>B11-E25</f>
        <v>19867.219999999998</v>
      </c>
      <c r="C19" s="1"/>
      <c r="D19" s="5"/>
      <c r="E19" s="4"/>
      <c r="F19" s="26"/>
      <c r="H19" s="6">
        <v>44012</v>
      </c>
      <c r="I19" s="7">
        <v>1464.15</v>
      </c>
      <c r="J19" s="187" t="s">
        <v>602</v>
      </c>
      <c r="K19" s="188"/>
      <c r="L19" s="8" t="s">
        <v>1468</v>
      </c>
      <c r="M19" s="8" t="s">
        <v>267</v>
      </c>
    </row>
    <row r="20" spans="1:13" ht="15.75" x14ac:dyDescent="0.25">
      <c r="A20" s="2" t="s">
        <v>12</v>
      </c>
      <c r="B20" s="3">
        <f>B11</f>
        <v>20902.989999999998</v>
      </c>
      <c r="C20" s="1"/>
      <c r="D20" s="5"/>
      <c r="E20" s="4"/>
      <c r="F20" s="26"/>
      <c r="H20" s="6">
        <v>44018</v>
      </c>
      <c r="I20" s="7">
        <v>3246.34</v>
      </c>
      <c r="J20" s="187" t="s">
        <v>46</v>
      </c>
      <c r="K20" s="188"/>
      <c r="L20" s="8" t="s">
        <v>1473</v>
      </c>
      <c r="M20" s="8" t="s">
        <v>268</v>
      </c>
    </row>
    <row r="21" spans="1:13" ht="15.75" x14ac:dyDescent="0.25">
      <c r="A21" s="2"/>
      <c r="B21" s="2"/>
      <c r="C21" s="1"/>
      <c r="D21" s="5"/>
      <c r="E21" s="4"/>
      <c r="F21" s="26"/>
      <c r="H21" s="6">
        <v>44018</v>
      </c>
      <c r="I21" s="7">
        <v>244.02</v>
      </c>
      <c r="J21" s="187" t="s">
        <v>1476</v>
      </c>
      <c r="K21" s="188"/>
      <c r="L21" s="8" t="s">
        <v>1475</v>
      </c>
      <c r="M21" s="8" t="s">
        <v>267</v>
      </c>
    </row>
    <row r="22" spans="1:13" ht="15.75" x14ac:dyDescent="0.25">
      <c r="A22" s="2"/>
      <c r="B22" s="2"/>
      <c r="C22" s="1"/>
      <c r="D22" s="22"/>
      <c r="E22" s="4"/>
      <c r="F22" s="26"/>
      <c r="H22" s="6">
        <v>44019</v>
      </c>
      <c r="I22" s="7">
        <v>100</v>
      </c>
      <c r="J22" s="187" t="s">
        <v>855</v>
      </c>
      <c r="K22" s="188"/>
      <c r="L22" s="8" t="s">
        <v>419</v>
      </c>
      <c r="M22" s="8" t="s">
        <v>268</v>
      </c>
    </row>
    <row r="23" spans="1:13" ht="15.75" x14ac:dyDescent="0.25">
      <c r="A23" s="1"/>
      <c r="B23" s="1"/>
      <c r="C23" s="1"/>
      <c r="D23" s="22"/>
      <c r="E23" s="4"/>
      <c r="F23" s="2"/>
      <c r="G23" s="1"/>
      <c r="H23" s="6">
        <v>44019</v>
      </c>
      <c r="I23" s="7">
        <v>9014</v>
      </c>
      <c r="J23" s="187" t="s">
        <v>1012</v>
      </c>
      <c r="K23" s="188"/>
      <c r="L23" s="8" t="s">
        <v>1477</v>
      </c>
      <c r="M23" s="8" t="s">
        <v>267</v>
      </c>
    </row>
    <row r="24" spans="1:13" ht="15.75" x14ac:dyDescent="0.25">
      <c r="A24" s="196"/>
      <c r="B24" s="196"/>
      <c r="C24" s="1"/>
      <c r="D24" s="22"/>
      <c r="E24" s="4"/>
      <c r="F24" s="2"/>
      <c r="G24" s="1"/>
      <c r="H24" s="6">
        <v>44022</v>
      </c>
      <c r="I24" s="7">
        <v>500</v>
      </c>
      <c r="J24" s="187" t="s">
        <v>46</v>
      </c>
      <c r="K24" s="188"/>
      <c r="L24" s="8" t="s">
        <v>1482</v>
      </c>
      <c r="M24" s="8" t="s">
        <v>268</v>
      </c>
    </row>
    <row r="25" spans="1:13" ht="15.75" x14ac:dyDescent="0.25">
      <c r="A25" s="1"/>
      <c r="B25" s="1"/>
      <c r="C25" s="1"/>
      <c r="D25" s="12" t="s">
        <v>23</v>
      </c>
      <c r="E25" s="24">
        <f>SUM(E3:E24)</f>
        <v>1035.77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50731.299999999996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1485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44020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44002</v>
      </c>
      <c r="I37" s="7">
        <v>2100</v>
      </c>
      <c r="J37" s="182" t="s">
        <v>1470</v>
      </c>
      <c r="K37" s="183"/>
      <c r="L37" s="18"/>
      <c r="M37" s="18"/>
    </row>
    <row r="38" spans="1:13" ht="15.75" x14ac:dyDescent="0.25">
      <c r="H38" s="6">
        <v>43847</v>
      </c>
      <c r="I38" s="35">
        <v>246.9</v>
      </c>
      <c r="J38" s="182" t="s">
        <v>1450</v>
      </c>
      <c r="K38" s="183"/>
      <c r="L38" s="180"/>
      <c r="M38" s="180"/>
    </row>
    <row r="39" spans="1:13" ht="15.75" x14ac:dyDescent="0.25">
      <c r="H39" s="6">
        <v>43997</v>
      </c>
      <c r="I39" s="35">
        <v>550</v>
      </c>
      <c r="J39" s="182" t="s">
        <v>1437</v>
      </c>
      <c r="K39" s="183"/>
      <c r="L39" s="180"/>
      <c r="M39" s="180"/>
    </row>
    <row r="40" spans="1:13" ht="15.75" x14ac:dyDescent="0.25">
      <c r="H40" s="6">
        <v>43969</v>
      </c>
      <c r="I40" s="35">
        <v>244.71</v>
      </c>
      <c r="J40" s="182" t="s">
        <v>1451</v>
      </c>
      <c r="K40" s="183"/>
    </row>
    <row r="41" spans="1:13" ht="15.75" x14ac:dyDescent="0.25">
      <c r="H41" s="6">
        <v>43997</v>
      </c>
      <c r="I41" s="7">
        <v>200</v>
      </c>
      <c r="J41" s="182" t="s">
        <v>1453</v>
      </c>
      <c r="K41" s="183"/>
    </row>
    <row r="42" spans="1:13" ht="15.75" x14ac:dyDescent="0.25">
      <c r="H42" s="6">
        <v>44001</v>
      </c>
      <c r="I42" s="7">
        <v>71.89</v>
      </c>
      <c r="J42" s="182" t="s">
        <v>1461</v>
      </c>
      <c r="K42" s="183"/>
    </row>
    <row r="43" spans="1:13" ht="15.75" x14ac:dyDescent="0.25">
      <c r="H43" s="6">
        <v>44001</v>
      </c>
      <c r="I43" s="35">
        <v>84.5</v>
      </c>
      <c r="J43" s="182" t="s">
        <v>1462</v>
      </c>
      <c r="K43" s="183"/>
    </row>
    <row r="44" spans="1:13" ht="15.75" x14ac:dyDescent="0.25">
      <c r="H44" s="6">
        <v>44013</v>
      </c>
      <c r="I44" s="35">
        <v>1800</v>
      </c>
      <c r="J44" s="182" t="s">
        <v>1469</v>
      </c>
      <c r="K44" s="183"/>
    </row>
    <row r="45" spans="1:13" ht="15.75" x14ac:dyDescent="0.25">
      <c r="H45" s="6">
        <v>44015</v>
      </c>
      <c r="I45" s="35">
        <v>159.97999999999999</v>
      </c>
      <c r="J45" s="182" t="s">
        <v>1471</v>
      </c>
      <c r="K45" s="183"/>
    </row>
    <row r="46" spans="1:13" ht="15.75" x14ac:dyDescent="0.25">
      <c r="H46" s="6">
        <v>44015</v>
      </c>
      <c r="I46" s="35">
        <v>172.56</v>
      </c>
      <c r="J46" s="182" t="s">
        <v>1472</v>
      </c>
      <c r="K46" s="183"/>
      <c r="L46" s="204"/>
      <c r="M46" s="205"/>
    </row>
    <row r="47" spans="1:13" ht="15.75" x14ac:dyDescent="0.25">
      <c r="H47" s="6">
        <v>44011</v>
      </c>
      <c r="I47" s="35">
        <v>130</v>
      </c>
      <c r="J47" s="182" t="s">
        <v>1478</v>
      </c>
      <c r="K47" s="183"/>
    </row>
    <row r="48" spans="1:13" ht="15.75" x14ac:dyDescent="0.25">
      <c r="H48" s="6">
        <v>44006</v>
      </c>
      <c r="I48" s="35">
        <v>72.900000000000006</v>
      </c>
      <c r="J48" s="208" t="s">
        <v>1479</v>
      </c>
      <c r="K48" s="208"/>
    </row>
    <row r="49" spans="8:11" ht="15.75" x14ac:dyDescent="0.25">
      <c r="H49" s="6">
        <v>44004</v>
      </c>
      <c r="I49" s="4">
        <v>217.5</v>
      </c>
      <c r="J49" s="208" t="s">
        <v>1480</v>
      </c>
      <c r="K49" s="208"/>
    </row>
    <row r="50" spans="8:11" ht="15.75" x14ac:dyDescent="0.25">
      <c r="H50" s="6">
        <v>44022</v>
      </c>
      <c r="I50" s="4">
        <v>2044.38</v>
      </c>
      <c r="J50" s="182" t="s">
        <v>1481</v>
      </c>
      <c r="K50" s="183"/>
    </row>
    <row r="51" spans="8:11" ht="15.75" x14ac:dyDescent="0.25">
      <c r="H51" s="6">
        <v>44025</v>
      </c>
      <c r="I51" s="4">
        <v>230</v>
      </c>
      <c r="J51" s="208" t="s">
        <v>1483</v>
      </c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J18:K18"/>
    <mergeCell ref="J20:K20"/>
    <mergeCell ref="J21:K21"/>
    <mergeCell ref="J19:K19"/>
    <mergeCell ref="J22:K22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Planilha53"/>
  <dimension ref="A1:M54"/>
  <sheetViews>
    <sheetView topLeftCell="H1" workbookViewId="0">
      <selection activeCell="H9" sqref="H9:L9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1486</v>
      </c>
      <c r="B1" s="184"/>
      <c r="C1" s="10"/>
      <c r="D1" s="184" t="s">
        <v>55</v>
      </c>
      <c r="E1" s="184"/>
      <c r="F1" s="26" t="s">
        <v>1249</v>
      </c>
      <c r="H1" s="184" t="s">
        <v>1487</v>
      </c>
      <c r="I1" s="184"/>
      <c r="J1" s="184"/>
      <c r="K1" s="184"/>
      <c r="L1" s="184"/>
      <c r="M1" s="184"/>
    </row>
    <row r="2" spans="1:13" ht="18.75" x14ac:dyDescent="0.3">
      <c r="A2" s="184" t="s">
        <v>589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32206.34</v>
      </c>
      <c r="C3" s="11"/>
      <c r="D3" s="22">
        <v>43746</v>
      </c>
      <c r="E3" s="4">
        <v>69.900000000000006</v>
      </c>
      <c r="F3" s="26" t="s">
        <v>1489</v>
      </c>
      <c r="H3" s="6">
        <v>44025</v>
      </c>
      <c r="I3" s="7">
        <v>1100</v>
      </c>
      <c r="J3" s="187" t="s">
        <v>788</v>
      </c>
      <c r="K3" s="188"/>
      <c r="L3" s="8" t="s">
        <v>1500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43799</v>
      </c>
      <c r="E4" s="4">
        <v>33.340000000000003</v>
      </c>
      <c r="F4" s="26" t="s">
        <v>1490</v>
      </c>
      <c r="H4" s="6">
        <v>44025</v>
      </c>
      <c r="I4" s="7">
        <v>500</v>
      </c>
      <c r="J4" s="187" t="s">
        <v>788</v>
      </c>
      <c r="K4" s="188"/>
      <c r="L4" s="8" t="s">
        <v>1501</v>
      </c>
      <c r="M4" s="8" t="s">
        <v>268</v>
      </c>
    </row>
    <row r="5" spans="1:13" ht="15.75" x14ac:dyDescent="0.25">
      <c r="A5" s="2" t="s">
        <v>4</v>
      </c>
      <c r="B5" s="3">
        <f>SUM(I36:I54)</f>
        <v>38680.559999999998</v>
      </c>
      <c r="C5" s="11"/>
      <c r="D5" s="5">
        <v>43817</v>
      </c>
      <c r="E5" s="4">
        <v>185.99</v>
      </c>
      <c r="F5" s="26" t="s">
        <v>1491</v>
      </c>
      <c r="H5" s="6">
        <v>44026</v>
      </c>
      <c r="I5" s="7">
        <v>300</v>
      </c>
      <c r="J5" s="187" t="s">
        <v>983</v>
      </c>
      <c r="K5" s="188"/>
      <c r="L5" s="8" t="s">
        <v>1337</v>
      </c>
      <c r="M5" s="8" t="s">
        <v>267</v>
      </c>
    </row>
    <row r="6" spans="1:13" ht="15.75" x14ac:dyDescent="0.25">
      <c r="A6" s="2"/>
      <c r="B6" s="3"/>
      <c r="C6" s="11"/>
      <c r="D6" s="22">
        <v>43862</v>
      </c>
      <c r="E6" s="4">
        <v>83.35</v>
      </c>
      <c r="F6" s="26" t="s">
        <v>1492</v>
      </c>
      <c r="H6" s="6">
        <v>44032</v>
      </c>
      <c r="I6" s="7">
        <v>349.14</v>
      </c>
      <c r="J6" s="187" t="s">
        <v>788</v>
      </c>
      <c r="K6" s="188"/>
      <c r="L6" s="8" t="s">
        <v>1331</v>
      </c>
      <c r="M6" s="8" t="s">
        <v>268</v>
      </c>
    </row>
    <row r="7" spans="1:13" ht="15.75" x14ac:dyDescent="0.25">
      <c r="A7" s="12" t="s">
        <v>5</v>
      </c>
      <c r="B7" s="25">
        <f>B3+B4-B5</f>
        <v>-6474.2199999999975</v>
      </c>
      <c r="C7" s="11"/>
      <c r="D7" s="22">
        <v>43864</v>
      </c>
      <c r="E7" s="4">
        <v>120.4</v>
      </c>
      <c r="F7" s="26" t="s">
        <v>1492</v>
      </c>
      <c r="H7" s="6">
        <v>44032</v>
      </c>
      <c r="I7" s="7">
        <v>75</v>
      </c>
      <c r="J7" s="36" t="s">
        <v>1502</v>
      </c>
      <c r="K7" s="37"/>
      <c r="L7" s="8" t="s">
        <v>1503</v>
      </c>
      <c r="M7" s="8" t="s">
        <v>267</v>
      </c>
    </row>
    <row r="8" spans="1:13" ht="15.75" x14ac:dyDescent="0.25">
      <c r="A8" s="2"/>
      <c r="B8" s="3"/>
      <c r="C8" s="11"/>
      <c r="D8" s="5">
        <v>43864</v>
      </c>
      <c r="E8" s="4">
        <v>176.2</v>
      </c>
      <c r="F8" s="50" t="s">
        <v>1493</v>
      </c>
      <c r="H8" s="6">
        <v>44033</v>
      </c>
      <c r="I8" s="7">
        <v>300</v>
      </c>
      <c r="J8" s="187"/>
      <c r="K8" s="188"/>
      <c r="L8" s="8" t="s">
        <v>1437</v>
      </c>
      <c r="M8" s="8" t="s">
        <v>267</v>
      </c>
    </row>
    <row r="9" spans="1:13" ht="15.75" x14ac:dyDescent="0.25">
      <c r="A9" s="2"/>
      <c r="B9" s="3"/>
      <c r="C9" s="11"/>
      <c r="D9" s="22">
        <v>43900</v>
      </c>
      <c r="E9" s="4">
        <v>106.85</v>
      </c>
      <c r="F9" s="26" t="s">
        <v>1494</v>
      </c>
      <c r="G9" s="42"/>
      <c r="H9" s="6">
        <v>44036</v>
      </c>
      <c r="I9" s="7">
        <v>3000</v>
      </c>
      <c r="J9" s="187" t="s">
        <v>165</v>
      </c>
      <c r="K9" s="188"/>
      <c r="L9" s="8" t="s">
        <v>1505</v>
      </c>
      <c r="M9" s="8" t="s">
        <v>267</v>
      </c>
    </row>
    <row r="10" spans="1:13" ht="15.75" x14ac:dyDescent="0.25">
      <c r="A10" s="2"/>
      <c r="B10" s="3"/>
      <c r="C10" s="11"/>
      <c r="D10" s="22">
        <v>43922</v>
      </c>
      <c r="E10" s="4">
        <v>259.74</v>
      </c>
      <c r="F10" s="26" t="s">
        <v>1495</v>
      </c>
      <c r="H10" s="6">
        <v>44043</v>
      </c>
      <c r="I10" s="7">
        <v>500</v>
      </c>
      <c r="J10" s="187"/>
      <c r="K10" s="188"/>
      <c r="L10" s="8" t="s">
        <v>1433</v>
      </c>
      <c r="M10" s="8" t="s">
        <v>267</v>
      </c>
    </row>
    <row r="11" spans="1:13" ht="15.75" x14ac:dyDescent="0.25">
      <c r="A11" s="2" t="s">
        <v>59</v>
      </c>
      <c r="B11" s="3">
        <f>(B7-B9)/2</f>
        <v>-3237.1099999999988</v>
      </c>
      <c r="C11" s="11"/>
      <c r="D11" s="22">
        <v>44050</v>
      </c>
      <c r="E11" s="4">
        <v>531.66</v>
      </c>
      <c r="F11" s="26" t="s">
        <v>1517</v>
      </c>
      <c r="H11" s="6">
        <v>44046</v>
      </c>
      <c r="I11" s="7">
        <v>300</v>
      </c>
      <c r="J11" s="187" t="s">
        <v>165</v>
      </c>
      <c r="K11" s="188"/>
      <c r="L11" s="8" t="s">
        <v>2256</v>
      </c>
      <c r="M11" s="8" t="s">
        <v>267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44047</v>
      </c>
      <c r="I12" s="7">
        <v>1000</v>
      </c>
      <c r="J12" s="187"/>
      <c r="K12" s="188"/>
      <c r="L12" s="8" t="s">
        <v>192</v>
      </c>
      <c r="M12" s="8" t="s">
        <v>267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44048</v>
      </c>
      <c r="I13" s="7">
        <v>244.02</v>
      </c>
      <c r="J13" s="187" t="s">
        <v>327</v>
      </c>
      <c r="K13" s="188"/>
      <c r="L13" s="8" t="s">
        <v>1475</v>
      </c>
      <c r="M13" s="8" t="s">
        <v>267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44048</v>
      </c>
      <c r="I14" s="7">
        <v>1040</v>
      </c>
      <c r="J14" s="187" t="s">
        <v>731</v>
      </c>
      <c r="K14" s="188"/>
      <c r="L14" s="8" t="s">
        <v>1506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44049</v>
      </c>
      <c r="I15" s="7">
        <v>22498.18</v>
      </c>
      <c r="J15" s="36" t="s">
        <v>788</v>
      </c>
      <c r="K15" s="37"/>
      <c r="L15" s="8" t="s">
        <v>317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44050</v>
      </c>
      <c r="I16" s="7">
        <v>500</v>
      </c>
      <c r="J16" s="36" t="s">
        <v>1507</v>
      </c>
      <c r="K16" s="37"/>
      <c r="L16" s="8" t="s">
        <v>367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44053</v>
      </c>
      <c r="I17" s="7">
        <v>500</v>
      </c>
      <c r="J17" s="187"/>
      <c r="K17" s="188"/>
      <c r="L17" s="8" t="s">
        <v>2231</v>
      </c>
      <c r="M17" s="8" t="s">
        <v>267</v>
      </c>
    </row>
    <row r="18" spans="1:13" ht="15.75" x14ac:dyDescent="0.25">
      <c r="A18" s="2"/>
      <c r="B18" s="3"/>
      <c r="C18" s="1"/>
      <c r="D18" s="22"/>
      <c r="E18" s="4"/>
      <c r="F18" s="2"/>
      <c r="H18" s="6"/>
    </row>
    <row r="19" spans="1:13" ht="15.75" x14ac:dyDescent="0.25">
      <c r="A19" s="2" t="s">
        <v>57</v>
      </c>
      <c r="B19" s="3">
        <f>B11-E25</f>
        <v>-4804.5399999999991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-3237.1099999999988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1567.4299999999998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32206.34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1488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44049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44032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43847</v>
      </c>
      <c r="I38" s="35">
        <v>246.9</v>
      </c>
      <c r="J38" s="182" t="s">
        <v>1496</v>
      </c>
      <c r="K38" s="183"/>
      <c r="L38" s="180"/>
      <c r="M38" s="180"/>
    </row>
    <row r="39" spans="1:13" ht="15.75" x14ac:dyDescent="0.25">
      <c r="H39" s="6">
        <v>43969</v>
      </c>
      <c r="I39" s="35">
        <v>244.71</v>
      </c>
      <c r="J39" s="182" t="s">
        <v>1497</v>
      </c>
      <c r="K39" s="183"/>
      <c r="L39" s="180"/>
      <c r="M39" s="180"/>
    </row>
    <row r="40" spans="1:13" ht="15.75" x14ac:dyDescent="0.25">
      <c r="H40" s="6">
        <v>44006</v>
      </c>
      <c r="I40" s="35">
        <v>72.900000000000006</v>
      </c>
      <c r="J40" s="208" t="s">
        <v>1498</v>
      </c>
      <c r="K40" s="208"/>
    </row>
    <row r="41" spans="1:13" ht="15.75" x14ac:dyDescent="0.25">
      <c r="H41" s="6">
        <v>44004</v>
      </c>
      <c r="I41" s="4">
        <v>217.5</v>
      </c>
      <c r="J41" s="208" t="s">
        <v>1499</v>
      </c>
      <c r="K41" s="208"/>
    </row>
    <row r="42" spans="1:13" ht="15.75" x14ac:dyDescent="0.25">
      <c r="H42" s="6">
        <v>44035</v>
      </c>
      <c r="I42" s="7">
        <v>86.72</v>
      </c>
      <c r="J42" s="182" t="s">
        <v>158</v>
      </c>
      <c r="K42" s="183"/>
    </row>
    <row r="43" spans="1:13" ht="15.75" x14ac:dyDescent="0.25">
      <c r="H43" s="6">
        <v>44035</v>
      </c>
      <c r="I43" s="35">
        <v>118.41</v>
      </c>
      <c r="J43" s="182" t="s">
        <v>1504</v>
      </c>
      <c r="K43" s="183"/>
    </row>
    <row r="44" spans="1:13" ht="15.75" x14ac:dyDescent="0.25">
      <c r="H44" s="6">
        <v>44029</v>
      </c>
      <c r="I44" s="35">
        <v>35000</v>
      </c>
      <c r="J44" s="182" t="s">
        <v>419</v>
      </c>
      <c r="K44" s="183"/>
    </row>
    <row r="45" spans="1:13" ht="15.75" x14ac:dyDescent="0.25">
      <c r="H45" s="6">
        <v>44050</v>
      </c>
      <c r="I45" s="35">
        <v>168.88</v>
      </c>
      <c r="J45" s="182" t="s">
        <v>1441</v>
      </c>
      <c r="K45" s="183"/>
    </row>
    <row r="46" spans="1:13" ht="15.75" x14ac:dyDescent="0.25">
      <c r="H46" s="6">
        <v>44050</v>
      </c>
      <c r="I46" s="35">
        <v>124.54</v>
      </c>
      <c r="J46" s="182" t="s">
        <v>1504</v>
      </c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1">
    <mergeCell ref="A1:B1"/>
    <mergeCell ref="D1:E1"/>
    <mergeCell ref="H1:M1"/>
    <mergeCell ref="A2:B2"/>
    <mergeCell ref="D2:E2"/>
    <mergeCell ref="J2:K2"/>
    <mergeCell ref="A17:B17"/>
    <mergeCell ref="J13:K13"/>
    <mergeCell ref="J12:K12"/>
    <mergeCell ref="J11:K11"/>
    <mergeCell ref="J10:K10"/>
    <mergeCell ref="J14:K14"/>
    <mergeCell ref="J17:K17"/>
    <mergeCell ref="J20:K20"/>
    <mergeCell ref="J21:K21"/>
    <mergeCell ref="J19:K19"/>
    <mergeCell ref="J22:K22"/>
    <mergeCell ref="J3:K3"/>
    <mergeCell ref="J4:K4"/>
    <mergeCell ref="J5:K5"/>
    <mergeCell ref="J6:K6"/>
    <mergeCell ref="J9:K9"/>
    <mergeCell ref="J8:K8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Planilha54"/>
  <dimension ref="A1:M54"/>
  <sheetViews>
    <sheetView topLeftCell="F1" workbookViewId="0">
      <selection activeCell="L20" sqref="L20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1508</v>
      </c>
      <c r="B1" s="184"/>
      <c r="C1" s="10"/>
      <c r="D1" s="184" t="s">
        <v>55</v>
      </c>
      <c r="E1" s="184"/>
      <c r="F1" s="26" t="s">
        <v>1249</v>
      </c>
      <c r="H1" s="184" t="s">
        <v>1509</v>
      </c>
      <c r="I1" s="184"/>
      <c r="J1" s="184"/>
      <c r="K1" s="184"/>
      <c r="L1" s="184"/>
      <c r="M1" s="184"/>
    </row>
    <row r="2" spans="1:13" ht="18.75" x14ac:dyDescent="0.3">
      <c r="A2" s="184" t="s">
        <v>629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20355.68</v>
      </c>
      <c r="C3" s="11"/>
      <c r="D3" s="22">
        <v>43746</v>
      </c>
      <c r="E3" s="4">
        <v>69.900000000000006</v>
      </c>
      <c r="F3" s="26" t="s">
        <v>1511</v>
      </c>
      <c r="H3" s="6">
        <v>44054</v>
      </c>
      <c r="I3" s="7">
        <v>200</v>
      </c>
      <c r="J3" s="187" t="s">
        <v>1092</v>
      </c>
      <c r="K3" s="188"/>
      <c r="L3" s="8" t="s">
        <v>2232</v>
      </c>
      <c r="M3" s="8" t="s">
        <v>267</v>
      </c>
    </row>
    <row r="4" spans="1:13" ht="15.75" x14ac:dyDescent="0.25">
      <c r="A4" s="2" t="s">
        <v>3</v>
      </c>
      <c r="B4" s="3"/>
      <c r="C4" s="11"/>
      <c r="D4" s="22">
        <v>43799</v>
      </c>
      <c r="E4" s="4">
        <v>33.340000000000003</v>
      </c>
      <c r="F4" s="26" t="s">
        <v>1512</v>
      </c>
      <c r="H4" s="6">
        <v>44055</v>
      </c>
      <c r="I4" s="7">
        <v>600</v>
      </c>
      <c r="J4" s="187" t="s">
        <v>788</v>
      </c>
      <c r="K4" s="188"/>
      <c r="L4" s="8" t="s">
        <v>1524</v>
      </c>
      <c r="M4" s="8" t="s">
        <v>268</v>
      </c>
    </row>
    <row r="5" spans="1:13" ht="15.75" x14ac:dyDescent="0.25">
      <c r="A5" s="2" t="s">
        <v>4</v>
      </c>
      <c r="B5" s="3">
        <f>SUM(I36:I54)</f>
        <v>6948.15</v>
      </c>
      <c r="C5" s="11"/>
      <c r="D5" s="5">
        <v>43817</v>
      </c>
      <c r="E5" s="4">
        <v>185.99</v>
      </c>
      <c r="F5" s="26" t="s">
        <v>1513</v>
      </c>
      <c r="H5" s="6">
        <v>44055</v>
      </c>
      <c r="I5" s="7">
        <v>4400</v>
      </c>
      <c r="J5" s="187" t="s">
        <v>763</v>
      </c>
      <c r="K5" s="188"/>
      <c r="L5" s="8" t="s">
        <v>1518</v>
      </c>
      <c r="M5" s="8" t="s">
        <v>267</v>
      </c>
    </row>
    <row r="6" spans="1:13" ht="15.75" x14ac:dyDescent="0.25">
      <c r="A6" s="2"/>
      <c r="B6" s="3"/>
      <c r="C6" s="11"/>
      <c r="D6" s="22">
        <v>43900</v>
      </c>
      <c r="E6" s="4">
        <v>106.85</v>
      </c>
      <c r="F6" s="26" t="s">
        <v>1514</v>
      </c>
      <c r="H6" s="6">
        <v>44057</v>
      </c>
      <c r="I6" s="7">
        <v>100</v>
      </c>
      <c r="J6" s="187" t="s">
        <v>1520</v>
      </c>
      <c r="K6" s="188"/>
      <c r="L6" s="8" t="s">
        <v>1519</v>
      </c>
      <c r="M6" s="8" t="s">
        <v>268</v>
      </c>
    </row>
    <row r="7" spans="1:13" ht="15.75" x14ac:dyDescent="0.25">
      <c r="A7" s="12" t="s">
        <v>5</v>
      </c>
      <c r="B7" s="25">
        <f>B3+B4-B5</f>
        <v>13407.53</v>
      </c>
      <c r="C7" s="11"/>
      <c r="D7" s="22">
        <v>43922</v>
      </c>
      <c r="E7" s="4">
        <v>259.74</v>
      </c>
      <c r="F7" s="26" t="s">
        <v>1515</v>
      </c>
      <c r="H7" s="6">
        <v>44060</v>
      </c>
      <c r="I7" s="7">
        <v>1351.12</v>
      </c>
      <c r="J7" s="187" t="s">
        <v>429</v>
      </c>
      <c r="K7" s="188"/>
      <c r="L7" s="8" t="s">
        <v>1521</v>
      </c>
      <c r="M7" s="8" t="s">
        <v>268</v>
      </c>
    </row>
    <row r="8" spans="1:13" ht="15.75" x14ac:dyDescent="0.25">
      <c r="A8" s="2"/>
      <c r="B8" s="3"/>
      <c r="C8" s="11"/>
      <c r="D8" s="5">
        <v>44028</v>
      </c>
      <c r="E8" s="4">
        <v>234.87</v>
      </c>
      <c r="F8" s="50" t="s">
        <v>1523</v>
      </c>
      <c r="H8" s="6">
        <v>44061</v>
      </c>
      <c r="I8" s="7">
        <v>75</v>
      </c>
      <c r="J8" s="187" t="s">
        <v>1522</v>
      </c>
      <c r="K8" s="188"/>
      <c r="L8" s="8" t="s">
        <v>1458</v>
      </c>
      <c r="M8" s="8" t="s">
        <v>267</v>
      </c>
    </row>
    <row r="9" spans="1:13" ht="15.75" x14ac:dyDescent="0.25">
      <c r="A9" s="2"/>
      <c r="B9" s="3"/>
      <c r="C9" s="11"/>
      <c r="D9" s="22">
        <v>44028</v>
      </c>
      <c r="E9" s="4">
        <v>176.16</v>
      </c>
      <c r="F9" s="26" t="s">
        <v>1345</v>
      </c>
      <c r="G9" s="42"/>
      <c r="H9" s="6">
        <v>44062</v>
      </c>
      <c r="I9" s="7">
        <v>500</v>
      </c>
      <c r="J9" s="187" t="s">
        <v>290</v>
      </c>
      <c r="K9" s="188"/>
      <c r="L9" s="8" t="s">
        <v>867</v>
      </c>
      <c r="M9" s="8" t="s">
        <v>268</v>
      </c>
    </row>
    <row r="10" spans="1:13" ht="15.75" x14ac:dyDescent="0.25">
      <c r="A10" s="2"/>
      <c r="B10" s="3"/>
      <c r="C10" s="11"/>
      <c r="D10" s="22"/>
      <c r="E10" s="4"/>
      <c r="F10" s="26"/>
      <c r="H10" s="6">
        <v>44063</v>
      </c>
      <c r="I10" s="7">
        <v>300</v>
      </c>
      <c r="J10" s="187" t="s">
        <v>983</v>
      </c>
      <c r="K10" s="188"/>
      <c r="L10" s="8" t="s">
        <v>1337</v>
      </c>
      <c r="M10" s="8" t="s">
        <v>267</v>
      </c>
    </row>
    <row r="11" spans="1:13" ht="15.75" x14ac:dyDescent="0.25">
      <c r="A11" s="2" t="s">
        <v>59</v>
      </c>
      <c r="B11" s="3">
        <f>(B7-B9)/2</f>
        <v>6703.7650000000003</v>
      </c>
      <c r="C11" s="11"/>
      <c r="D11" s="22"/>
      <c r="E11" s="4"/>
      <c r="F11" s="26"/>
      <c r="H11" s="6">
        <v>44064</v>
      </c>
      <c r="I11" s="7">
        <v>1069</v>
      </c>
      <c r="J11" s="187" t="s">
        <v>788</v>
      </c>
      <c r="K11" s="188"/>
      <c r="L11" s="8" t="s">
        <v>1524</v>
      </c>
      <c r="M11" s="8" t="s">
        <v>268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44071</v>
      </c>
      <c r="I12" s="7">
        <v>1000</v>
      </c>
      <c r="J12" s="187" t="s">
        <v>1525</v>
      </c>
      <c r="K12" s="188"/>
      <c r="L12" s="8" t="s">
        <v>2253</v>
      </c>
      <c r="M12" s="8" t="s">
        <v>267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44071</v>
      </c>
      <c r="I13" s="7">
        <v>2664.22</v>
      </c>
      <c r="J13" s="187" t="s">
        <v>788</v>
      </c>
      <c r="K13" s="188"/>
      <c r="L13" s="8" t="s">
        <v>1526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44074</v>
      </c>
      <c r="I14" s="7">
        <v>1000</v>
      </c>
      <c r="J14" s="187" t="s">
        <v>788</v>
      </c>
      <c r="K14" s="188"/>
      <c r="L14" s="8" t="s">
        <v>1465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44075</v>
      </c>
      <c r="I15" s="7">
        <v>500</v>
      </c>
      <c r="J15" s="187"/>
      <c r="K15" s="188"/>
      <c r="L15" s="8" t="s">
        <v>1433</v>
      </c>
      <c r="M15" s="8" t="s">
        <v>267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44076</v>
      </c>
      <c r="I16" s="7">
        <v>300</v>
      </c>
      <c r="J16" s="187" t="s">
        <v>565</v>
      </c>
      <c r="K16" s="188"/>
      <c r="L16" s="8" t="s">
        <v>1527</v>
      </c>
      <c r="M16" s="8" t="s">
        <v>267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44076</v>
      </c>
      <c r="I17" s="7">
        <v>3246.34</v>
      </c>
      <c r="J17" s="187" t="s">
        <v>788</v>
      </c>
      <c r="K17" s="188"/>
      <c r="L17" s="8" t="s">
        <v>1386</v>
      </c>
      <c r="M17" s="8" t="s">
        <v>268</v>
      </c>
    </row>
    <row r="18" spans="1:13" ht="15.75" x14ac:dyDescent="0.25">
      <c r="A18" s="2"/>
      <c r="B18" s="3"/>
      <c r="C18" s="1"/>
      <c r="D18" s="22"/>
      <c r="E18" s="4"/>
      <c r="F18" s="2"/>
      <c r="H18" s="6">
        <v>44077</v>
      </c>
      <c r="I18" s="7">
        <v>2500</v>
      </c>
      <c r="J18" s="187" t="s">
        <v>788</v>
      </c>
      <c r="K18" s="188"/>
      <c r="L18" s="8" t="s">
        <v>1528</v>
      </c>
      <c r="M18" s="8" t="s">
        <v>268</v>
      </c>
    </row>
    <row r="19" spans="1:13" ht="15.75" x14ac:dyDescent="0.25">
      <c r="A19" s="2" t="s">
        <v>57</v>
      </c>
      <c r="B19" s="3">
        <f>B11-E25</f>
        <v>5636.915</v>
      </c>
      <c r="C19" s="1"/>
      <c r="D19" s="5"/>
      <c r="E19" s="4"/>
      <c r="F19" s="26"/>
      <c r="H19" s="6">
        <v>44078</v>
      </c>
      <c r="I19" s="7">
        <v>250</v>
      </c>
      <c r="J19" s="187" t="s">
        <v>724</v>
      </c>
      <c r="K19" s="188"/>
      <c r="L19" s="8" t="s">
        <v>1475</v>
      </c>
      <c r="M19" s="8" t="s">
        <v>267</v>
      </c>
    </row>
    <row r="20" spans="1:13" ht="15.75" x14ac:dyDescent="0.25">
      <c r="A20" s="2" t="s">
        <v>12</v>
      </c>
      <c r="B20" s="3">
        <f>B11</f>
        <v>6703.7650000000003</v>
      </c>
      <c r="C20" s="1"/>
      <c r="D20" s="5"/>
      <c r="E20" s="4"/>
      <c r="F20" s="26"/>
      <c r="H20" s="6">
        <v>44082</v>
      </c>
      <c r="I20" s="7">
        <v>300</v>
      </c>
      <c r="J20" s="187" t="s">
        <v>165</v>
      </c>
      <c r="K20" s="188"/>
      <c r="L20" s="8" t="s">
        <v>2256</v>
      </c>
      <c r="M20" s="8" t="s">
        <v>267</v>
      </c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1066.8500000000001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20355.68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1510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44078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44063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43847</v>
      </c>
      <c r="I38" s="35">
        <v>246.9</v>
      </c>
      <c r="J38" s="182" t="s">
        <v>1516</v>
      </c>
      <c r="K38" s="183"/>
      <c r="L38" s="180"/>
      <c r="M38" s="180"/>
    </row>
    <row r="39" spans="1:13" ht="15.75" x14ac:dyDescent="0.25">
      <c r="H39" s="6">
        <v>44055</v>
      </c>
      <c r="I39" s="35">
        <v>4000</v>
      </c>
      <c r="J39" s="182" t="s">
        <v>419</v>
      </c>
      <c r="K39" s="183"/>
      <c r="L39" s="180"/>
      <c r="M39" s="180"/>
    </row>
    <row r="40" spans="1:13" ht="15.75" x14ac:dyDescent="0.25">
      <c r="H40" s="6">
        <v>44082</v>
      </c>
      <c r="I40" s="35">
        <v>121.89</v>
      </c>
      <c r="J40" s="208" t="s">
        <v>262</v>
      </c>
      <c r="K40" s="208"/>
    </row>
    <row r="41" spans="1:13" ht="15.75" x14ac:dyDescent="0.25">
      <c r="H41" s="6">
        <v>44082</v>
      </c>
      <c r="I41" s="4">
        <v>179.36</v>
      </c>
      <c r="J41" s="208" t="s">
        <v>1472</v>
      </c>
      <c r="K41" s="208"/>
    </row>
    <row r="42" spans="1:13" ht="15.75" x14ac:dyDescent="0.25">
      <c r="H42" s="6"/>
      <c r="I42" s="7"/>
      <c r="J42" s="182"/>
      <c r="K42" s="183"/>
    </row>
    <row r="43" spans="1:13" ht="15.75" x14ac:dyDescent="0.25">
      <c r="H43" s="6"/>
      <c r="I43" s="35"/>
      <c r="J43" s="182"/>
      <c r="K43" s="183"/>
    </row>
    <row r="44" spans="1:13" ht="15.75" x14ac:dyDescent="0.25">
      <c r="H44" s="6"/>
      <c r="I44" s="35"/>
      <c r="J44" s="182"/>
      <c r="K44" s="183"/>
    </row>
    <row r="45" spans="1:13" ht="15.75" x14ac:dyDescent="0.25">
      <c r="H45" s="6"/>
      <c r="I45" s="35"/>
      <c r="J45" s="182"/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5"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10:K10"/>
    <mergeCell ref="J11:K11"/>
    <mergeCell ref="J12:K12"/>
    <mergeCell ref="J13:K13"/>
    <mergeCell ref="A17:B17"/>
    <mergeCell ref="J17:K17"/>
    <mergeCell ref="J14:K14"/>
    <mergeCell ref="J15:K15"/>
    <mergeCell ref="J16:K16"/>
    <mergeCell ref="J18:K18"/>
    <mergeCell ref="J20:K20"/>
    <mergeCell ref="J21:K21"/>
    <mergeCell ref="J19:K19"/>
    <mergeCell ref="J22:K22"/>
    <mergeCell ref="J23:K23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35:K35"/>
    <mergeCell ref="L35:M35"/>
    <mergeCell ref="J30:K30"/>
    <mergeCell ref="L30:M30"/>
    <mergeCell ref="L31:M31"/>
    <mergeCell ref="A33:B33"/>
    <mergeCell ref="C33:D33"/>
    <mergeCell ref="E33:F33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L46:M46"/>
    <mergeCell ref="J47:K47"/>
    <mergeCell ref="J48:K48"/>
    <mergeCell ref="J49:K49"/>
    <mergeCell ref="J50:K50"/>
    <mergeCell ref="J51:K51"/>
    <mergeCell ref="J52:K52"/>
    <mergeCell ref="J53:K53"/>
    <mergeCell ref="J54:K54"/>
    <mergeCell ref="J46:K46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Planilha55"/>
  <dimension ref="A1:M54"/>
  <sheetViews>
    <sheetView topLeftCell="F6" workbookViewId="0">
      <selection activeCell="L20" sqref="H20:L20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1529</v>
      </c>
      <c r="B1" s="184"/>
      <c r="C1" s="10"/>
      <c r="D1" s="184" t="s">
        <v>55</v>
      </c>
      <c r="E1" s="184"/>
      <c r="F1" s="26" t="s">
        <v>1249</v>
      </c>
      <c r="H1" s="184" t="s">
        <v>1535</v>
      </c>
      <c r="I1" s="184"/>
      <c r="J1" s="184"/>
      <c r="K1" s="184"/>
      <c r="L1" s="184"/>
      <c r="M1" s="184"/>
    </row>
    <row r="2" spans="1:13" ht="18.75" x14ac:dyDescent="0.3">
      <c r="A2" s="184" t="s">
        <v>657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44048.229999999996</v>
      </c>
      <c r="C3" s="11"/>
      <c r="D3" s="22">
        <v>43746</v>
      </c>
      <c r="E3" s="4">
        <v>69.900000000000006</v>
      </c>
      <c r="F3" s="26" t="s">
        <v>1530</v>
      </c>
      <c r="H3" s="6">
        <v>44085</v>
      </c>
      <c r="I3" s="7">
        <v>721.57</v>
      </c>
      <c r="J3" s="187" t="s">
        <v>1538</v>
      </c>
      <c r="K3" s="188"/>
      <c r="L3" s="8" t="s">
        <v>1539</v>
      </c>
      <c r="M3" s="8" t="s">
        <v>267</v>
      </c>
    </row>
    <row r="4" spans="1:13" ht="15.75" x14ac:dyDescent="0.25">
      <c r="A4" s="2" t="s">
        <v>3</v>
      </c>
      <c r="B4" s="3"/>
      <c r="C4" s="11"/>
      <c r="D4" s="22">
        <v>44105</v>
      </c>
      <c r="E4" s="4">
        <v>531.66999999999996</v>
      </c>
      <c r="F4" s="26" t="s">
        <v>1551</v>
      </c>
      <c r="H4" s="6">
        <v>44085</v>
      </c>
      <c r="I4" s="7">
        <v>769.54</v>
      </c>
      <c r="J4" s="187" t="s">
        <v>733</v>
      </c>
      <c r="K4" s="188"/>
      <c r="L4" s="8" t="s">
        <v>1540</v>
      </c>
      <c r="M4" s="8" t="s">
        <v>268</v>
      </c>
    </row>
    <row r="5" spans="1:13" ht="15.75" x14ac:dyDescent="0.25">
      <c r="A5" s="2" t="s">
        <v>4</v>
      </c>
      <c r="B5" s="3">
        <f>SUM(I36:I54)</f>
        <v>6768.79</v>
      </c>
      <c r="C5" s="11"/>
      <c r="D5" s="5">
        <v>43817</v>
      </c>
      <c r="E5" s="4">
        <v>185.99</v>
      </c>
      <c r="F5" s="26" t="s">
        <v>1531</v>
      </c>
      <c r="H5" s="6">
        <v>44088</v>
      </c>
      <c r="I5" s="7">
        <v>300</v>
      </c>
      <c r="J5" s="187" t="s">
        <v>983</v>
      </c>
      <c r="K5" s="188"/>
      <c r="L5" s="8" t="s">
        <v>1541</v>
      </c>
      <c r="M5" s="8" t="s">
        <v>267</v>
      </c>
    </row>
    <row r="6" spans="1:13" ht="15.75" x14ac:dyDescent="0.25">
      <c r="A6" s="2"/>
      <c r="B6" s="3"/>
      <c r="C6" s="11"/>
      <c r="D6" s="22">
        <v>43900</v>
      </c>
      <c r="E6" s="4">
        <v>106.85</v>
      </c>
      <c r="F6" s="26" t="s">
        <v>1532</v>
      </c>
      <c r="H6" s="6">
        <v>44088</v>
      </c>
      <c r="I6" s="7">
        <v>600</v>
      </c>
      <c r="J6" s="187" t="s">
        <v>46</v>
      </c>
      <c r="K6" s="188"/>
      <c r="L6" s="8" t="s">
        <v>1524</v>
      </c>
      <c r="M6" s="8" t="s">
        <v>268</v>
      </c>
    </row>
    <row r="7" spans="1:13" ht="15.75" x14ac:dyDescent="0.25">
      <c r="A7" s="12" t="s">
        <v>5</v>
      </c>
      <c r="B7" s="25">
        <f>B3+B4-B5</f>
        <v>37279.439999999995</v>
      </c>
      <c r="C7" s="11"/>
      <c r="D7" s="22">
        <v>43922</v>
      </c>
      <c r="E7" s="4">
        <v>259.74</v>
      </c>
      <c r="F7" s="26" t="s">
        <v>1533</v>
      </c>
      <c r="H7" s="6">
        <v>44088</v>
      </c>
      <c r="I7" s="7">
        <v>320</v>
      </c>
      <c r="J7" s="187" t="s">
        <v>46</v>
      </c>
      <c r="K7" s="188"/>
      <c r="L7" s="8" t="s">
        <v>1331</v>
      </c>
      <c r="M7" s="8" t="s">
        <v>268</v>
      </c>
    </row>
    <row r="8" spans="1:13" ht="15.75" x14ac:dyDescent="0.25">
      <c r="A8" s="2"/>
      <c r="B8" s="3"/>
      <c r="C8" s="11"/>
      <c r="D8" s="5">
        <v>44028</v>
      </c>
      <c r="E8" s="4">
        <v>234.87</v>
      </c>
      <c r="F8" s="50" t="s">
        <v>1534</v>
      </c>
      <c r="H8" s="6">
        <v>44088</v>
      </c>
      <c r="I8" s="7">
        <v>300</v>
      </c>
      <c r="J8" s="187" t="s">
        <v>983</v>
      </c>
      <c r="K8" s="188"/>
      <c r="L8" s="8" t="s">
        <v>1337</v>
      </c>
      <c r="M8" s="8" t="s">
        <v>267</v>
      </c>
    </row>
    <row r="9" spans="1:13" ht="15.75" x14ac:dyDescent="0.25">
      <c r="A9" s="2"/>
      <c r="B9" s="3"/>
      <c r="C9" s="11"/>
      <c r="D9" s="22">
        <v>44028</v>
      </c>
      <c r="E9" s="4">
        <v>176.16</v>
      </c>
      <c r="F9" s="26" t="s">
        <v>1366</v>
      </c>
      <c r="G9" s="42"/>
      <c r="H9" s="6">
        <v>44091</v>
      </c>
      <c r="I9" s="7">
        <v>16422.59</v>
      </c>
      <c r="J9" s="187" t="s">
        <v>830</v>
      </c>
      <c r="K9" s="188"/>
      <c r="L9" s="8" t="s">
        <v>1542</v>
      </c>
      <c r="M9" s="8" t="s">
        <v>268</v>
      </c>
    </row>
    <row r="10" spans="1:13" ht="15.75" x14ac:dyDescent="0.25">
      <c r="A10" s="2"/>
      <c r="B10" s="3"/>
      <c r="C10" s="11"/>
      <c r="D10" s="22"/>
      <c r="E10" s="4"/>
      <c r="F10" s="26"/>
      <c r="H10" s="6">
        <v>44091</v>
      </c>
      <c r="I10" s="7">
        <v>500</v>
      </c>
      <c r="J10" s="187" t="s">
        <v>1543</v>
      </c>
      <c r="K10" s="188"/>
      <c r="L10" s="8" t="s">
        <v>1544</v>
      </c>
      <c r="M10" s="8" t="s">
        <v>267</v>
      </c>
    </row>
    <row r="11" spans="1:13" ht="15.75" x14ac:dyDescent="0.25">
      <c r="A11" s="2" t="s">
        <v>59</v>
      </c>
      <c r="B11" s="3">
        <f>(B7-B9)/2</f>
        <v>18639.719999999998</v>
      </c>
      <c r="C11" s="11"/>
      <c r="D11" s="22"/>
      <c r="E11" s="4"/>
      <c r="F11" s="26"/>
      <c r="H11" s="6">
        <v>44091</v>
      </c>
      <c r="I11" s="7">
        <v>1050</v>
      </c>
      <c r="J11" s="36" t="s">
        <v>868</v>
      </c>
      <c r="K11" s="37"/>
      <c r="L11" s="8" t="s">
        <v>1414</v>
      </c>
      <c r="M11" s="8" t="s">
        <v>268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44092</v>
      </c>
      <c r="I12" s="7">
        <v>300</v>
      </c>
      <c r="J12" s="187" t="s">
        <v>1545</v>
      </c>
      <c r="K12" s="188"/>
      <c r="L12" s="8" t="s">
        <v>2311</v>
      </c>
      <c r="M12" s="8" t="s">
        <v>267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44095</v>
      </c>
      <c r="I13" s="7">
        <v>903.36</v>
      </c>
      <c r="J13" s="36" t="s">
        <v>733</v>
      </c>
      <c r="K13" s="37"/>
      <c r="L13" s="8" t="s">
        <v>1546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44096</v>
      </c>
      <c r="I14" s="7">
        <v>5013.6099999999997</v>
      </c>
      <c r="J14" s="36" t="s">
        <v>733</v>
      </c>
      <c r="K14" s="37"/>
      <c r="L14" s="8" t="s">
        <v>1547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44097</v>
      </c>
      <c r="I15" s="7">
        <v>880</v>
      </c>
      <c r="J15" s="36" t="s">
        <v>46</v>
      </c>
      <c r="K15" s="37"/>
      <c r="L15" s="8" t="s">
        <v>1548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44097</v>
      </c>
      <c r="I16" s="7">
        <v>400</v>
      </c>
      <c r="J16" s="36" t="s">
        <v>46</v>
      </c>
      <c r="K16" s="37"/>
      <c r="L16" s="8" t="s">
        <v>1501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44099</v>
      </c>
      <c r="I17" s="7">
        <v>2970</v>
      </c>
      <c r="J17" s="36" t="s">
        <v>868</v>
      </c>
      <c r="K17" s="37"/>
      <c r="L17" s="8" t="s">
        <v>1549</v>
      </c>
      <c r="M17" s="8" t="s">
        <v>268</v>
      </c>
    </row>
    <row r="18" spans="1:13" ht="15.75" x14ac:dyDescent="0.25">
      <c r="A18" s="2"/>
      <c r="B18" s="3"/>
      <c r="C18" s="1"/>
      <c r="D18" s="22"/>
      <c r="E18" s="4"/>
      <c r="F18" s="2"/>
      <c r="H18" s="6">
        <v>44105</v>
      </c>
      <c r="I18" s="7">
        <v>1000</v>
      </c>
      <c r="J18" s="187" t="s">
        <v>290</v>
      </c>
      <c r="K18" s="188"/>
      <c r="L18" s="8" t="s">
        <v>1550</v>
      </c>
      <c r="M18" s="8" t="s">
        <v>268</v>
      </c>
    </row>
    <row r="19" spans="1:13" ht="15.75" x14ac:dyDescent="0.25">
      <c r="A19" s="2" t="s">
        <v>57</v>
      </c>
      <c r="B19" s="3">
        <f>B11-E25</f>
        <v>17074.539999999997</v>
      </c>
      <c r="C19" s="1"/>
      <c r="D19" s="5"/>
      <c r="E19" s="4"/>
      <c r="F19" s="26"/>
      <c r="H19" s="6">
        <v>44105</v>
      </c>
      <c r="I19" s="7">
        <v>3246.34</v>
      </c>
      <c r="J19" s="187" t="s">
        <v>46</v>
      </c>
      <c r="K19" s="188"/>
      <c r="L19" s="8" t="s">
        <v>1386</v>
      </c>
      <c r="M19" s="8" t="s">
        <v>268</v>
      </c>
    </row>
    <row r="20" spans="1:13" ht="15.75" x14ac:dyDescent="0.25">
      <c r="A20" s="2" t="s">
        <v>12</v>
      </c>
      <c r="B20" s="3">
        <f>B11</f>
        <v>18639.719999999998</v>
      </c>
      <c r="C20" s="1"/>
      <c r="D20" s="5"/>
      <c r="E20" s="4"/>
      <c r="F20" s="26"/>
      <c r="H20" s="6">
        <v>44110</v>
      </c>
      <c r="I20" s="7">
        <v>2083</v>
      </c>
      <c r="J20" s="187" t="s">
        <v>654</v>
      </c>
      <c r="K20" s="188"/>
      <c r="L20" s="8" t="s">
        <v>2214</v>
      </c>
      <c r="M20" s="8" t="s">
        <v>267</v>
      </c>
    </row>
    <row r="21" spans="1:13" ht="15.75" x14ac:dyDescent="0.25">
      <c r="A21" s="2"/>
      <c r="B21" s="2"/>
      <c r="C21" s="1"/>
      <c r="D21" s="5"/>
      <c r="E21" s="4"/>
      <c r="F21" s="26"/>
      <c r="H21" s="6">
        <v>44111</v>
      </c>
      <c r="I21" s="7">
        <v>1924.2</v>
      </c>
      <c r="J21" s="187" t="s">
        <v>1553</v>
      </c>
      <c r="K21" s="188"/>
      <c r="L21" s="8" t="s">
        <v>1552</v>
      </c>
      <c r="M21" s="8" t="s">
        <v>267</v>
      </c>
    </row>
    <row r="22" spans="1:13" ht="15.75" x14ac:dyDescent="0.25">
      <c r="A22" s="2"/>
      <c r="B22" s="2"/>
      <c r="C22" s="1"/>
      <c r="D22" s="22"/>
      <c r="E22" s="4"/>
      <c r="F22" s="26"/>
      <c r="H22" s="6">
        <v>44112</v>
      </c>
      <c r="I22" s="7">
        <v>244.02</v>
      </c>
      <c r="J22" s="187" t="s">
        <v>1554</v>
      </c>
      <c r="K22" s="188"/>
      <c r="L22" s="8" t="s">
        <v>1475</v>
      </c>
      <c r="M22" s="8" t="s">
        <v>267</v>
      </c>
    </row>
    <row r="23" spans="1:13" ht="15.75" x14ac:dyDescent="0.25">
      <c r="A23" s="1"/>
      <c r="B23" s="1"/>
      <c r="C23" s="1"/>
      <c r="D23" s="22"/>
      <c r="E23" s="4"/>
      <c r="F23" s="2"/>
      <c r="G23" s="1"/>
      <c r="H23" s="6">
        <v>44112</v>
      </c>
      <c r="I23" s="7">
        <v>2000</v>
      </c>
      <c r="J23" s="187" t="s">
        <v>46</v>
      </c>
      <c r="K23" s="188"/>
      <c r="L23" s="8" t="s">
        <v>642</v>
      </c>
      <c r="M23" s="8" t="s">
        <v>268</v>
      </c>
    </row>
    <row r="24" spans="1:13" ht="15.75" x14ac:dyDescent="0.25">
      <c r="A24" s="196"/>
      <c r="B24" s="196"/>
      <c r="C24" s="1"/>
      <c r="D24" s="22"/>
      <c r="E24" s="4"/>
      <c r="F24" s="2"/>
      <c r="G24" s="1"/>
      <c r="H24" s="6">
        <v>44112</v>
      </c>
      <c r="I24" s="7">
        <v>300</v>
      </c>
      <c r="J24" s="187" t="s">
        <v>1555</v>
      </c>
      <c r="K24" s="188"/>
      <c r="L24" s="8" t="s">
        <v>2256</v>
      </c>
      <c r="M24" s="8" t="s">
        <v>267</v>
      </c>
    </row>
    <row r="25" spans="1:13" ht="15.75" x14ac:dyDescent="0.25">
      <c r="A25" s="1"/>
      <c r="B25" s="1"/>
      <c r="C25" s="1"/>
      <c r="D25" s="12" t="s">
        <v>23</v>
      </c>
      <c r="E25" s="24">
        <f>SUM(E3:E24)</f>
        <v>1565.18</v>
      </c>
      <c r="F25" s="2"/>
      <c r="G25" s="1"/>
      <c r="H25" s="6">
        <v>44113</v>
      </c>
      <c r="I25" s="7">
        <v>1800</v>
      </c>
      <c r="J25" s="187" t="s">
        <v>46</v>
      </c>
      <c r="K25" s="188"/>
      <c r="L25" s="8" t="s">
        <v>1556</v>
      </c>
      <c r="M25" s="8" t="s">
        <v>268</v>
      </c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44048.229999999996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1536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44111</v>
      </c>
      <c r="I36" s="7">
        <v>600</v>
      </c>
      <c r="J36" s="182" t="s">
        <v>879</v>
      </c>
      <c r="K36" s="183"/>
      <c r="L36" s="18"/>
      <c r="M36" s="18"/>
    </row>
    <row r="37" spans="1:13" ht="15.75" x14ac:dyDescent="0.25">
      <c r="H37" s="6">
        <v>44095</v>
      </c>
      <c r="I37" s="7">
        <v>1800</v>
      </c>
      <c r="J37" s="182" t="s">
        <v>173</v>
      </c>
      <c r="K37" s="183"/>
      <c r="L37" s="18"/>
      <c r="M37" s="18"/>
    </row>
    <row r="38" spans="1:13" ht="15.75" x14ac:dyDescent="0.25">
      <c r="H38" s="6">
        <v>43847</v>
      </c>
      <c r="I38" s="35">
        <v>246.9</v>
      </c>
      <c r="J38" s="182" t="s">
        <v>1537</v>
      </c>
      <c r="K38" s="183"/>
      <c r="L38" s="180"/>
      <c r="M38" s="180"/>
    </row>
    <row r="39" spans="1:13" ht="15.75" x14ac:dyDescent="0.25">
      <c r="H39" s="6">
        <v>44085</v>
      </c>
      <c r="I39" s="35">
        <v>4000</v>
      </c>
      <c r="J39" s="182" t="s">
        <v>419</v>
      </c>
      <c r="K39" s="183"/>
      <c r="L39" s="180"/>
      <c r="M39" s="180"/>
    </row>
    <row r="40" spans="1:13" ht="15.75" x14ac:dyDescent="0.25">
      <c r="H40" s="6">
        <v>44110</v>
      </c>
      <c r="I40" s="35">
        <v>121.89</v>
      </c>
      <c r="J40" s="208" t="s">
        <v>1504</v>
      </c>
      <c r="K40" s="208"/>
    </row>
    <row r="41" spans="1:13" ht="15.75" x14ac:dyDescent="0.25">
      <c r="H41" s="6"/>
      <c r="I41" s="4"/>
      <c r="J41" s="208"/>
      <c r="K41" s="208"/>
    </row>
    <row r="42" spans="1:13" ht="15.75" x14ac:dyDescent="0.25">
      <c r="H42" s="6"/>
      <c r="I42" s="7"/>
      <c r="J42" s="182"/>
      <c r="K42" s="183"/>
    </row>
    <row r="43" spans="1:13" ht="15.75" x14ac:dyDescent="0.25">
      <c r="H43" s="6"/>
      <c r="I43" s="35"/>
      <c r="J43" s="182"/>
      <c r="K43" s="183"/>
    </row>
    <row r="44" spans="1:13" ht="15.75" x14ac:dyDescent="0.25">
      <c r="H44" s="6"/>
      <c r="I44" s="35"/>
      <c r="J44" s="182"/>
      <c r="K44" s="183"/>
    </row>
    <row r="45" spans="1:13" ht="15.75" x14ac:dyDescent="0.25">
      <c r="H45" s="6"/>
      <c r="I45" s="35"/>
      <c r="J45" s="182"/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69">
    <mergeCell ref="J51:K51"/>
    <mergeCell ref="J52:K52"/>
    <mergeCell ref="J53:K53"/>
    <mergeCell ref="J54:K54"/>
    <mergeCell ref="J46:K46"/>
    <mergeCell ref="L46:M46"/>
    <mergeCell ref="J47:K47"/>
    <mergeCell ref="J48:K48"/>
    <mergeCell ref="J49:K49"/>
    <mergeCell ref="J50:K50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A33:B33"/>
    <mergeCell ref="C33:D33"/>
    <mergeCell ref="E33:F33"/>
    <mergeCell ref="H34:K34"/>
    <mergeCell ref="L34:M34"/>
    <mergeCell ref="J35:K35"/>
    <mergeCell ref="L35:M35"/>
    <mergeCell ref="J30:K30"/>
    <mergeCell ref="L30:M30"/>
    <mergeCell ref="L31:M31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J21:K21"/>
    <mergeCell ref="J19:K19"/>
    <mergeCell ref="J22:K22"/>
    <mergeCell ref="J23:K23"/>
    <mergeCell ref="A24:B24"/>
    <mergeCell ref="J24:K24"/>
    <mergeCell ref="J10:K10"/>
    <mergeCell ref="J12:K12"/>
    <mergeCell ref="A17:B17"/>
    <mergeCell ref="J18:K18"/>
    <mergeCell ref="J20:K20"/>
    <mergeCell ref="J9:K9"/>
    <mergeCell ref="J8:K8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Planilha56"/>
  <dimension ref="A1:M54"/>
  <sheetViews>
    <sheetView workbookViewId="0">
      <selection activeCell="O17" sqref="O17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1236</v>
      </c>
      <c r="B1" s="184"/>
      <c r="C1" s="10"/>
      <c r="D1" s="184" t="s">
        <v>55</v>
      </c>
      <c r="E1" s="184"/>
      <c r="F1" s="26" t="s">
        <v>1249</v>
      </c>
      <c r="H1" s="184" t="s">
        <v>1580</v>
      </c>
      <c r="I1" s="184"/>
      <c r="J1" s="184"/>
      <c r="K1" s="184"/>
      <c r="L1" s="184"/>
      <c r="M1" s="184"/>
    </row>
    <row r="2" spans="1:13" ht="18.75" x14ac:dyDescent="0.3">
      <c r="A2" s="184" t="s">
        <v>690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16968.580000000002</v>
      </c>
      <c r="C3" s="11"/>
      <c r="D3" s="22"/>
      <c r="E3" s="4">
        <v>300</v>
      </c>
      <c r="F3" s="26" t="s">
        <v>1574</v>
      </c>
      <c r="H3" s="6">
        <v>44117</v>
      </c>
      <c r="I3" s="7">
        <v>700</v>
      </c>
      <c r="J3" s="187" t="s">
        <v>868</v>
      </c>
      <c r="K3" s="188"/>
      <c r="L3" s="8" t="s">
        <v>425</v>
      </c>
      <c r="M3" s="8" t="s">
        <v>268</v>
      </c>
    </row>
    <row r="4" spans="1:13" ht="15.75" x14ac:dyDescent="0.25">
      <c r="A4" s="2" t="s">
        <v>3</v>
      </c>
      <c r="B4" s="3"/>
      <c r="C4" s="11"/>
      <c r="D4" s="5">
        <v>43817</v>
      </c>
      <c r="E4" s="4">
        <v>185.99</v>
      </c>
      <c r="F4" s="26" t="s">
        <v>1560</v>
      </c>
      <c r="H4" s="6">
        <v>44117</v>
      </c>
      <c r="I4" s="7">
        <v>300</v>
      </c>
      <c r="J4" s="187" t="s">
        <v>1565</v>
      </c>
      <c r="K4" s="188"/>
      <c r="L4" s="8" t="s">
        <v>1566</v>
      </c>
      <c r="M4" s="8" t="s">
        <v>268</v>
      </c>
    </row>
    <row r="5" spans="1:13" ht="15.75" x14ac:dyDescent="0.25">
      <c r="A5" s="2" t="s">
        <v>4</v>
      </c>
      <c r="B5" s="3">
        <f>SUM(I36:I54)</f>
        <v>4770.3</v>
      </c>
      <c r="C5" s="11"/>
      <c r="D5" s="22">
        <v>43900</v>
      </c>
      <c r="E5" s="4">
        <v>106.85</v>
      </c>
      <c r="F5" s="26" t="s">
        <v>1561</v>
      </c>
      <c r="H5" s="6">
        <v>44118</v>
      </c>
      <c r="I5" s="7">
        <v>200</v>
      </c>
      <c r="J5" s="187" t="s">
        <v>1564</v>
      </c>
      <c r="K5" s="188"/>
      <c r="L5" s="8" t="s">
        <v>2232</v>
      </c>
      <c r="M5" s="8" t="s">
        <v>267</v>
      </c>
    </row>
    <row r="6" spans="1:13" ht="15.75" x14ac:dyDescent="0.25">
      <c r="A6" s="2"/>
      <c r="B6" s="3"/>
      <c r="C6" s="11"/>
      <c r="D6" s="22">
        <v>43922</v>
      </c>
      <c r="E6" s="4">
        <v>259.74</v>
      </c>
      <c r="F6" s="26" t="s">
        <v>1562</v>
      </c>
      <c r="H6" s="6">
        <v>44124</v>
      </c>
      <c r="I6" s="7">
        <v>100</v>
      </c>
      <c r="J6" s="187"/>
      <c r="K6" s="188"/>
      <c r="L6" s="8" t="s">
        <v>2272</v>
      </c>
      <c r="M6" s="8" t="s">
        <v>267</v>
      </c>
    </row>
    <row r="7" spans="1:13" ht="15.75" x14ac:dyDescent="0.25">
      <c r="A7" s="12" t="s">
        <v>5</v>
      </c>
      <c r="B7" s="25">
        <f>B3+B4-B5</f>
        <v>12198.280000000002</v>
      </c>
      <c r="C7" s="11"/>
      <c r="D7" s="5">
        <v>44028</v>
      </c>
      <c r="E7" s="4">
        <v>234.87</v>
      </c>
      <c r="F7" s="50" t="s">
        <v>1563</v>
      </c>
      <c r="H7" s="6">
        <v>44125</v>
      </c>
      <c r="I7" s="7">
        <v>500</v>
      </c>
      <c r="J7" s="187" t="s">
        <v>139</v>
      </c>
      <c r="K7" s="188"/>
      <c r="L7" s="8" t="s">
        <v>1501</v>
      </c>
      <c r="M7" s="8" t="s">
        <v>268</v>
      </c>
    </row>
    <row r="8" spans="1:13" ht="15.75" x14ac:dyDescent="0.25">
      <c r="A8" s="2"/>
      <c r="B8" s="3"/>
      <c r="C8" s="11"/>
      <c r="D8" s="22">
        <v>44028</v>
      </c>
      <c r="E8" s="4">
        <v>176.16</v>
      </c>
      <c r="F8" s="26" t="s">
        <v>1393</v>
      </c>
      <c r="H8" s="6">
        <v>44130</v>
      </c>
      <c r="I8" s="7">
        <v>1000</v>
      </c>
      <c r="J8" s="187" t="s">
        <v>46</v>
      </c>
      <c r="K8" s="188"/>
      <c r="L8" s="8" t="s">
        <v>1572</v>
      </c>
      <c r="M8" s="8" t="s">
        <v>268</v>
      </c>
    </row>
    <row r="9" spans="1:13" ht="15.75" x14ac:dyDescent="0.25">
      <c r="A9" s="2"/>
      <c r="B9" s="3"/>
      <c r="C9" s="11"/>
      <c r="D9" s="22"/>
      <c r="E9" s="4"/>
      <c r="F9" s="26"/>
      <c r="G9" s="42"/>
      <c r="H9" s="6">
        <v>44131</v>
      </c>
      <c r="I9" s="7">
        <v>439.24</v>
      </c>
      <c r="J9" s="187" t="s">
        <v>1567</v>
      </c>
      <c r="K9" s="188"/>
      <c r="L9" s="8" t="s">
        <v>1568</v>
      </c>
      <c r="M9" s="8" t="s">
        <v>268</v>
      </c>
    </row>
    <row r="10" spans="1:13" ht="15.75" x14ac:dyDescent="0.25">
      <c r="A10" s="2"/>
      <c r="B10" s="3"/>
      <c r="C10" s="11"/>
      <c r="D10" s="22"/>
      <c r="E10" s="4"/>
      <c r="F10" s="26"/>
      <c r="H10" s="6">
        <v>44131</v>
      </c>
      <c r="I10" s="7">
        <v>1000</v>
      </c>
      <c r="J10" s="36" t="s">
        <v>46</v>
      </c>
      <c r="K10" s="37"/>
      <c r="L10" s="8" t="s">
        <v>1376</v>
      </c>
      <c r="M10" s="8" t="s">
        <v>268</v>
      </c>
    </row>
    <row r="11" spans="1:13" ht="15.75" x14ac:dyDescent="0.25">
      <c r="A11" s="2" t="s">
        <v>59</v>
      </c>
      <c r="B11" s="3">
        <f>(B7-B9)/2</f>
        <v>6099.1400000000012</v>
      </c>
      <c r="C11" s="11"/>
      <c r="D11" s="22"/>
      <c r="E11" s="4"/>
      <c r="F11" s="26"/>
      <c r="H11" s="6">
        <v>44132</v>
      </c>
      <c r="I11" s="7">
        <v>300</v>
      </c>
      <c r="J11" s="187"/>
      <c r="K11" s="188"/>
      <c r="L11" s="8" t="s">
        <v>2311</v>
      </c>
      <c r="M11" s="8" t="s">
        <v>267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44138</v>
      </c>
      <c r="I12" s="7">
        <v>500</v>
      </c>
      <c r="J12" s="36" t="s">
        <v>139</v>
      </c>
      <c r="K12" s="37"/>
      <c r="L12" s="8" t="s">
        <v>1569</v>
      </c>
      <c r="M12" s="8" t="s">
        <v>268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44138</v>
      </c>
      <c r="I13" s="7">
        <v>2083</v>
      </c>
      <c r="J13" s="36" t="s">
        <v>1570</v>
      </c>
      <c r="K13" s="37"/>
      <c r="L13" s="8" t="s">
        <v>2214</v>
      </c>
      <c r="M13" s="8" t="s">
        <v>267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44139</v>
      </c>
      <c r="I14" s="7">
        <v>1000</v>
      </c>
      <c r="J14" s="36" t="s">
        <v>1570</v>
      </c>
      <c r="K14" s="37"/>
      <c r="L14" s="8" t="s">
        <v>2199</v>
      </c>
      <c r="M14" s="8" t="s">
        <v>267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44140</v>
      </c>
      <c r="I15" s="7">
        <v>250</v>
      </c>
      <c r="J15" s="187" t="s">
        <v>1571</v>
      </c>
      <c r="K15" s="188"/>
      <c r="L15" s="8"/>
      <c r="M15" s="8" t="s">
        <v>267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44140</v>
      </c>
      <c r="I16" s="7">
        <v>3246.34</v>
      </c>
      <c r="J16" s="187" t="s">
        <v>46</v>
      </c>
      <c r="K16" s="188"/>
      <c r="L16" s="8" t="s">
        <v>1386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44145</v>
      </c>
      <c r="I17" s="7">
        <v>150</v>
      </c>
      <c r="J17" s="187"/>
      <c r="K17" s="188"/>
      <c r="L17" s="8" t="s">
        <v>1452</v>
      </c>
      <c r="M17" s="8" t="s">
        <v>267</v>
      </c>
    </row>
    <row r="18" spans="1:13" ht="15.75" x14ac:dyDescent="0.25">
      <c r="A18" s="2"/>
      <c r="B18" s="3"/>
      <c r="C18" s="1"/>
      <c r="D18" s="22"/>
      <c r="E18" s="4"/>
      <c r="F18" s="2"/>
      <c r="H18" s="6">
        <v>44145</v>
      </c>
      <c r="I18" s="7">
        <v>500</v>
      </c>
      <c r="J18" s="187" t="s">
        <v>139</v>
      </c>
      <c r="K18" s="188"/>
      <c r="L18" s="8" t="s">
        <v>1575</v>
      </c>
      <c r="M18" s="8" t="s">
        <v>268</v>
      </c>
    </row>
    <row r="19" spans="1:13" ht="15.75" x14ac:dyDescent="0.25">
      <c r="A19" s="2" t="s">
        <v>57</v>
      </c>
      <c r="B19" s="3">
        <f>B11-E25</f>
        <v>4835.5300000000007</v>
      </c>
      <c r="C19" s="1"/>
      <c r="D19" s="5"/>
      <c r="E19" s="4"/>
      <c r="F19" s="26"/>
      <c r="H19" s="6">
        <v>44145</v>
      </c>
      <c r="I19" s="7">
        <v>2550</v>
      </c>
      <c r="J19" s="187" t="s">
        <v>830</v>
      </c>
      <c r="K19" s="188"/>
      <c r="L19" s="8" t="s">
        <v>1542</v>
      </c>
      <c r="M19" s="8" t="s">
        <v>268</v>
      </c>
    </row>
    <row r="20" spans="1:13" ht="15.75" x14ac:dyDescent="0.25">
      <c r="A20" s="2" t="s">
        <v>12</v>
      </c>
      <c r="B20" s="3">
        <f>B11</f>
        <v>6099.1400000000012</v>
      </c>
      <c r="C20" s="1"/>
      <c r="D20" s="5"/>
      <c r="E20" s="4"/>
      <c r="F20" s="26"/>
      <c r="H20" s="6">
        <v>44145</v>
      </c>
      <c r="I20" s="7">
        <v>300</v>
      </c>
      <c r="J20" s="187" t="s">
        <v>165</v>
      </c>
      <c r="K20" s="188"/>
      <c r="L20" s="8" t="s">
        <v>2256</v>
      </c>
      <c r="M20" s="8" t="s">
        <v>267</v>
      </c>
    </row>
    <row r="21" spans="1:13" ht="15.75" x14ac:dyDescent="0.25">
      <c r="A21" s="2"/>
      <c r="B21" s="2"/>
      <c r="C21" s="1"/>
      <c r="D21" s="5"/>
      <c r="E21" s="4"/>
      <c r="F21" s="26"/>
      <c r="H21" s="6">
        <v>44145</v>
      </c>
      <c r="I21" s="7">
        <v>600</v>
      </c>
      <c r="J21" s="187" t="s">
        <v>1565</v>
      </c>
      <c r="K21" s="188"/>
      <c r="L21" s="8" t="s">
        <v>1526</v>
      </c>
      <c r="M21" s="8" t="s">
        <v>268</v>
      </c>
    </row>
    <row r="22" spans="1:13" ht="15.75" x14ac:dyDescent="0.25">
      <c r="A22" s="2"/>
      <c r="B22" s="2"/>
      <c r="C22" s="1"/>
      <c r="D22" s="22"/>
      <c r="E22" s="4"/>
      <c r="F22" s="26"/>
      <c r="H22" s="6">
        <v>44145</v>
      </c>
      <c r="I22" s="7">
        <v>500</v>
      </c>
      <c r="J22" s="187"/>
      <c r="K22" s="188"/>
      <c r="L22" s="8" t="s">
        <v>1584</v>
      </c>
      <c r="M22" s="8" t="s">
        <v>267</v>
      </c>
    </row>
    <row r="23" spans="1:13" ht="15.75" x14ac:dyDescent="0.25">
      <c r="A23" s="1"/>
      <c r="B23" s="1"/>
      <c r="C23" s="1"/>
      <c r="D23" s="22"/>
      <c r="E23" s="4"/>
      <c r="F23" s="2"/>
      <c r="G23" s="1"/>
      <c r="H23" s="6">
        <v>44119</v>
      </c>
      <c r="I23" s="7">
        <v>500</v>
      </c>
      <c r="J23" s="187" t="s">
        <v>305</v>
      </c>
      <c r="K23" s="188"/>
      <c r="L23" s="8" t="s">
        <v>240</v>
      </c>
      <c r="M23" s="8" t="s">
        <v>267</v>
      </c>
    </row>
    <row r="24" spans="1:13" ht="15.75" x14ac:dyDescent="0.25">
      <c r="A24" s="196"/>
      <c r="B24" s="196"/>
      <c r="C24" s="1"/>
      <c r="D24" s="22"/>
      <c r="E24" s="4"/>
      <c r="F24" s="2"/>
      <c r="G24" s="1"/>
      <c r="H24" s="6">
        <v>44124</v>
      </c>
      <c r="I24" s="7">
        <v>250</v>
      </c>
      <c r="J24" s="187" t="s">
        <v>305</v>
      </c>
      <c r="K24" s="188"/>
      <c r="L24" s="8" t="s">
        <v>240</v>
      </c>
      <c r="M24" s="8" t="s">
        <v>267</v>
      </c>
    </row>
    <row r="25" spans="1:13" ht="15.75" x14ac:dyDescent="0.25">
      <c r="A25" s="1"/>
      <c r="B25" s="1"/>
      <c r="C25" s="1"/>
      <c r="D25" s="12" t="s">
        <v>23</v>
      </c>
      <c r="E25" s="24">
        <f>SUM(E3:E24)</f>
        <v>1263.6100000000001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16968.580000000002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1581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44125</v>
      </c>
      <c r="I36" s="7">
        <v>1800</v>
      </c>
      <c r="J36" s="187" t="s">
        <v>173</v>
      </c>
      <c r="K36" s="188"/>
      <c r="L36" s="18"/>
      <c r="M36" s="18"/>
    </row>
    <row r="37" spans="1:13" ht="15.75" x14ac:dyDescent="0.25">
      <c r="H37" s="6">
        <v>43847</v>
      </c>
      <c r="I37" s="35">
        <v>246.9</v>
      </c>
      <c r="J37" s="187" t="s">
        <v>1559</v>
      </c>
      <c r="K37" s="188"/>
      <c r="L37" s="18"/>
      <c r="M37" s="18"/>
    </row>
    <row r="38" spans="1:13" ht="15.75" x14ac:dyDescent="0.25">
      <c r="F38" t="s">
        <v>2089</v>
      </c>
      <c r="H38" s="6">
        <v>44127</v>
      </c>
      <c r="I38" s="35">
        <v>101.51</v>
      </c>
      <c r="J38" s="187" t="s">
        <v>158</v>
      </c>
      <c r="K38" s="188"/>
      <c r="L38" s="180"/>
      <c r="M38" s="180"/>
    </row>
    <row r="39" spans="1:13" ht="15.75" x14ac:dyDescent="0.25">
      <c r="F39" s="57">
        <f>I40</f>
        <v>2500</v>
      </c>
      <c r="H39" s="6">
        <v>44140</v>
      </c>
      <c r="I39" s="35">
        <v>121.89</v>
      </c>
      <c r="J39" s="215" t="s">
        <v>500</v>
      </c>
      <c r="K39" s="215"/>
      <c r="L39" s="180"/>
      <c r="M39" s="180"/>
    </row>
    <row r="40" spans="1:13" ht="15.75" x14ac:dyDescent="0.25">
      <c r="H40" s="6">
        <v>44141</v>
      </c>
      <c r="I40" s="35">
        <v>2500</v>
      </c>
      <c r="J40" s="215" t="s">
        <v>1573</v>
      </c>
      <c r="K40" s="215"/>
    </row>
    <row r="41" spans="1:13" ht="15.75" x14ac:dyDescent="0.25">
      <c r="H41" s="6"/>
      <c r="I41" s="4"/>
      <c r="J41" s="208"/>
      <c r="K41" s="208"/>
    </row>
    <row r="42" spans="1:13" ht="15.75" x14ac:dyDescent="0.25">
      <c r="H42" s="6"/>
      <c r="I42" s="7"/>
      <c r="J42" s="182"/>
      <c r="K42" s="183"/>
    </row>
    <row r="43" spans="1:13" ht="15.75" x14ac:dyDescent="0.25">
      <c r="H43" s="6"/>
      <c r="I43" s="35"/>
      <c r="J43" s="182"/>
      <c r="K43" s="183"/>
    </row>
    <row r="44" spans="1:13" ht="15.75" x14ac:dyDescent="0.25">
      <c r="H44" s="6"/>
      <c r="I44" s="35"/>
      <c r="J44" s="182"/>
      <c r="K44" s="183"/>
    </row>
    <row r="45" spans="1:13" ht="15.75" x14ac:dyDescent="0.25">
      <c r="H45" s="6"/>
      <c r="I45" s="35"/>
      <c r="J45" s="182"/>
      <c r="K45" s="183"/>
    </row>
    <row r="46" spans="1:13" ht="15.75" x14ac:dyDescent="0.25">
      <c r="H46" s="6"/>
      <c r="I46" s="35"/>
      <c r="J46" s="182"/>
      <c r="K46" s="183"/>
      <c r="L46" s="204"/>
      <c r="M46" s="205"/>
    </row>
    <row r="47" spans="1:13" ht="15.75" x14ac:dyDescent="0.25">
      <c r="H47" s="6"/>
      <c r="I47" s="35"/>
      <c r="J47" s="182"/>
      <c r="K47" s="183"/>
    </row>
    <row r="48" spans="1:13" ht="15.75" x14ac:dyDescent="0.25">
      <c r="H48" s="6"/>
      <c r="I48" s="35"/>
      <c r="J48" s="208"/>
      <c r="K48" s="208"/>
    </row>
    <row r="49" spans="8:11" ht="15.75" x14ac:dyDescent="0.25">
      <c r="H49" s="6"/>
      <c r="I49" s="4"/>
      <c r="J49" s="208"/>
      <c r="K49" s="208"/>
    </row>
    <row r="50" spans="8:11" ht="15.75" x14ac:dyDescent="0.25">
      <c r="H50" s="6"/>
      <c r="I50" s="4"/>
      <c r="J50" s="182"/>
      <c r="K50" s="183"/>
    </row>
    <row r="51" spans="8:11" ht="15.75" x14ac:dyDescent="0.25">
      <c r="H51" s="6"/>
      <c r="I51" s="4"/>
      <c r="J51" s="208"/>
      <c r="K51" s="208"/>
    </row>
    <row r="52" spans="8:11" ht="15.75" x14ac:dyDescent="0.25">
      <c r="H52" s="6"/>
      <c r="I52" s="4"/>
      <c r="J52" s="208"/>
      <c r="K52" s="208"/>
    </row>
    <row r="53" spans="8:11" ht="15.75" x14ac:dyDescent="0.25">
      <c r="H53" s="6"/>
      <c r="I53" s="4"/>
      <c r="J53" s="182"/>
      <c r="K53" s="183"/>
    </row>
    <row r="54" spans="8:11" ht="15.75" x14ac:dyDescent="0.25">
      <c r="H54" s="6"/>
      <c r="I54" s="4"/>
      <c r="J54" s="182"/>
      <c r="K54" s="183"/>
    </row>
  </sheetData>
  <mergeCells count="71">
    <mergeCell ref="J15:K15"/>
    <mergeCell ref="J45:K45"/>
    <mergeCell ref="J36:K36"/>
    <mergeCell ref="J37:K37"/>
    <mergeCell ref="J38:K38"/>
    <mergeCell ref="J42:K42"/>
    <mergeCell ref="J43:K43"/>
    <mergeCell ref="J44:K44"/>
    <mergeCell ref="J16:K16"/>
    <mergeCell ref="J51:K51"/>
    <mergeCell ref="J52:K52"/>
    <mergeCell ref="J53:K53"/>
    <mergeCell ref="J54:K54"/>
    <mergeCell ref="J46:K46"/>
    <mergeCell ref="L46:M46"/>
    <mergeCell ref="J47:K47"/>
    <mergeCell ref="J48:K48"/>
    <mergeCell ref="J49:K49"/>
    <mergeCell ref="J50:K50"/>
    <mergeCell ref="L38:M38"/>
    <mergeCell ref="J39:K39"/>
    <mergeCell ref="L39:M39"/>
    <mergeCell ref="J40:K40"/>
    <mergeCell ref="J41:K41"/>
    <mergeCell ref="A33:B33"/>
    <mergeCell ref="C33:D33"/>
    <mergeCell ref="E33:F33"/>
    <mergeCell ref="H34:K34"/>
    <mergeCell ref="L34:M34"/>
    <mergeCell ref="L35:M35"/>
    <mergeCell ref="J30:K30"/>
    <mergeCell ref="L30:M30"/>
    <mergeCell ref="L31:M31"/>
    <mergeCell ref="J23:K23"/>
    <mergeCell ref="J35:K35"/>
    <mergeCell ref="A24:B24"/>
    <mergeCell ref="J24:K24"/>
    <mergeCell ref="A32:B32"/>
    <mergeCell ref="C32:D32"/>
    <mergeCell ref="E32:F32"/>
    <mergeCell ref="J25:K25"/>
    <mergeCell ref="J26:K26"/>
    <mergeCell ref="D27:E27"/>
    <mergeCell ref="I27:M27"/>
    <mergeCell ref="A28:F30"/>
    <mergeCell ref="L28:M28"/>
    <mergeCell ref="H29:I29"/>
    <mergeCell ref="J29:K29"/>
    <mergeCell ref="L29:M29"/>
    <mergeCell ref="H30:I30"/>
    <mergeCell ref="A17:B17"/>
    <mergeCell ref="J18:K18"/>
    <mergeCell ref="J20:K20"/>
    <mergeCell ref="J21:K21"/>
    <mergeCell ref="J22:K22"/>
    <mergeCell ref="J19:K19"/>
    <mergeCell ref="J17:K17"/>
    <mergeCell ref="J11:K11"/>
    <mergeCell ref="J8:K8"/>
    <mergeCell ref="J9:K9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Planilha57"/>
  <dimension ref="A1:M62"/>
  <sheetViews>
    <sheetView topLeftCell="E4" workbookViewId="0">
      <selection activeCell="L15" sqref="L15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1244</v>
      </c>
      <c r="B1" s="184"/>
      <c r="C1" s="10"/>
      <c r="D1" s="184" t="s">
        <v>55</v>
      </c>
      <c r="E1" s="184"/>
      <c r="F1" s="26" t="s">
        <v>1249</v>
      </c>
      <c r="H1" s="184" t="s">
        <v>1557</v>
      </c>
      <c r="I1" s="184"/>
      <c r="J1" s="184"/>
      <c r="K1" s="184"/>
      <c r="L1" s="184"/>
      <c r="M1" s="184"/>
    </row>
    <row r="2" spans="1:13" ht="18.75" x14ac:dyDescent="0.3">
      <c r="A2" s="184" t="s">
        <v>739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16086.69</v>
      </c>
      <c r="C3" s="11"/>
      <c r="D3" s="22"/>
      <c r="E3" s="4"/>
      <c r="F3" s="26"/>
      <c r="H3" s="6">
        <v>44146</v>
      </c>
      <c r="I3" s="7">
        <v>2000</v>
      </c>
      <c r="J3" s="187" t="s">
        <v>1582</v>
      </c>
      <c r="K3" s="188"/>
      <c r="L3" s="8" t="s">
        <v>1583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44159</v>
      </c>
      <c r="E4" s="4">
        <v>531.66999999999996</v>
      </c>
      <c r="F4" s="26" t="s">
        <v>1588</v>
      </c>
      <c r="H4" s="6">
        <v>44146</v>
      </c>
      <c r="I4" s="7">
        <v>300</v>
      </c>
      <c r="J4" s="187"/>
      <c r="K4" s="188"/>
      <c r="L4" s="8" t="s">
        <v>2311</v>
      </c>
      <c r="M4" s="8" t="s">
        <v>267</v>
      </c>
    </row>
    <row r="5" spans="1:13" ht="15.75" x14ac:dyDescent="0.25">
      <c r="A5" s="2" t="s">
        <v>4</v>
      </c>
      <c r="B5" s="3">
        <f>SUM(I36:I62)</f>
        <v>16824.21</v>
      </c>
      <c r="C5" s="11"/>
      <c r="D5" s="5">
        <v>44166</v>
      </c>
      <c r="E5" s="4">
        <v>531.66999999999996</v>
      </c>
      <c r="F5" s="26" t="s">
        <v>1588</v>
      </c>
      <c r="H5" s="6">
        <v>44147</v>
      </c>
      <c r="I5" s="7">
        <v>500</v>
      </c>
      <c r="J5" s="187"/>
      <c r="K5" s="188"/>
      <c r="L5" s="8" t="s">
        <v>1576</v>
      </c>
      <c r="M5" s="8" t="s">
        <v>267</v>
      </c>
    </row>
    <row r="6" spans="1:13" ht="15.75" x14ac:dyDescent="0.25">
      <c r="A6" s="2"/>
      <c r="B6" s="3"/>
      <c r="C6" s="11"/>
      <c r="D6" s="22">
        <v>43900</v>
      </c>
      <c r="E6" s="4">
        <v>106.85</v>
      </c>
      <c r="F6" s="26" t="s">
        <v>1577</v>
      </c>
      <c r="H6" s="6">
        <v>44148</v>
      </c>
      <c r="I6" s="7">
        <v>1452.15</v>
      </c>
      <c r="J6" s="187" t="s">
        <v>1585</v>
      </c>
      <c r="K6" s="188"/>
      <c r="L6" s="8" t="s">
        <v>1586</v>
      </c>
      <c r="M6" s="8" t="s">
        <v>268</v>
      </c>
    </row>
    <row r="7" spans="1:13" ht="15.75" x14ac:dyDescent="0.25">
      <c r="A7" s="12" t="s">
        <v>5</v>
      </c>
      <c r="B7" s="25">
        <f>B3+B4-B5</f>
        <v>-737.51999999999862</v>
      </c>
      <c r="C7" s="11"/>
      <c r="D7" s="22">
        <v>43922</v>
      </c>
      <c r="E7" s="4">
        <v>259.74</v>
      </c>
      <c r="F7" s="26" t="s">
        <v>1578</v>
      </c>
      <c r="H7" s="6">
        <v>44151</v>
      </c>
      <c r="I7" s="7">
        <v>200</v>
      </c>
      <c r="J7" s="187"/>
      <c r="K7" s="188"/>
      <c r="L7" s="8" t="s">
        <v>2233</v>
      </c>
      <c r="M7" s="8" t="s">
        <v>267</v>
      </c>
    </row>
    <row r="8" spans="1:13" ht="15.75" x14ac:dyDescent="0.25">
      <c r="A8" s="2"/>
      <c r="B8" s="3"/>
      <c r="C8" s="11"/>
      <c r="D8" s="5">
        <v>44028</v>
      </c>
      <c r="E8" s="4">
        <v>234.87</v>
      </c>
      <c r="F8" s="50" t="s">
        <v>1579</v>
      </c>
      <c r="H8" s="6">
        <v>44151</v>
      </c>
      <c r="I8" s="7">
        <v>300</v>
      </c>
      <c r="J8" s="187" t="s">
        <v>1609</v>
      </c>
      <c r="K8" s="188"/>
      <c r="L8" s="8" t="s">
        <v>786</v>
      </c>
      <c r="M8" s="8" t="s">
        <v>268</v>
      </c>
    </row>
    <row r="9" spans="1:13" ht="15.75" x14ac:dyDescent="0.25">
      <c r="A9" s="2"/>
      <c r="B9" s="3"/>
      <c r="C9" s="11"/>
      <c r="D9" s="22">
        <v>44028</v>
      </c>
      <c r="E9" s="4">
        <v>176.16</v>
      </c>
      <c r="F9" s="26" t="s">
        <v>1425</v>
      </c>
      <c r="G9" s="42"/>
      <c r="H9" s="6">
        <v>44152</v>
      </c>
      <c r="I9" s="7">
        <v>70</v>
      </c>
      <c r="J9" s="187" t="s">
        <v>173</v>
      </c>
      <c r="K9" s="188"/>
      <c r="L9" s="8" t="s">
        <v>1458</v>
      </c>
      <c r="M9" s="8" t="s">
        <v>267</v>
      </c>
    </row>
    <row r="10" spans="1:13" ht="15.75" x14ac:dyDescent="0.25">
      <c r="A10" s="2"/>
      <c r="B10" s="3"/>
      <c r="C10" s="11"/>
      <c r="D10" s="22"/>
      <c r="E10" s="4"/>
      <c r="F10" s="26"/>
      <c r="H10" s="6">
        <v>44152</v>
      </c>
      <c r="I10" s="7">
        <v>500</v>
      </c>
      <c r="J10" s="187" t="s">
        <v>139</v>
      </c>
      <c r="K10" s="188"/>
      <c r="L10" s="8" t="s">
        <v>1501</v>
      </c>
      <c r="M10" s="8" t="s">
        <v>268</v>
      </c>
    </row>
    <row r="11" spans="1:13" ht="15.75" x14ac:dyDescent="0.25">
      <c r="A11" s="2" t="s">
        <v>59</v>
      </c>
      <c r="B11" s="3">
        <f>(B7-B9)/2</f>
        <v>-368.75999999999931</v>
      </c>
      <c r="C11" s="11"/>
      <c r="D11" s="22"/>
      <c r="E11" s="4"/>
      <c r="F11" s="26"/>
      <c r="H11" s="6">
        <v>44154</v>
      </c>
      <c r="I11" s="7">
        <v>883</v>
      </c>
      <c r="J11" s="187" t="s">
        <v>763</v>
      </c>
      <c r="K11" s="188"/>
      <c r="L11" s="8" t="s">
        <v>722</v>
      </c>
      <c r="M11" s="8" t="s">
        <v>268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44158</v>
      </c>
      <c r="I12" s="7">
        <v>800</v>
      </c>
      <c r="J12" s="187" t="s">
        <v>46</v>
      </c>
      <c r="K12" s="188"/>
      <c r="L12" s="8" t="s">
        <v>1587</v>
      </c>
      <c r="M12" s="8" t="s">
        <v>268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44159</v>
      </c>
      <c r="I13" s="7">
        <v>500</v>
      </c>
      <c r="J13" s="187" t="s">
        <v>139</v>
      </c>
      <c r="K13" s="188"/>
      <c r="L13" s="8" t="s">
        <v>1575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44161</v>
      </c>
      <c r="I14" s="7">
        <v>1000</v>
      </c>
      <c r="J14" s="187" t="s">
        <v>46</v>
      </c>
      <c r="K14" s="188"/>
      <c r="L14" s="8" t="s">
        <v>1572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44166</v>
      </c>
      <c r="I15" s="7">
        <v>2083</v>
      </c>
      <c r="J15" s="187" t="s">
        <v>1611</v>
      </c>
      <c r="K15" s="188"/>
      <c r="L15" s="8" t="s">
        <v>2214</v>
      </c>
      <c r="M15" s="8" t="s">
        <v>267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44167</v>
      </c>
      <c r="I16" s="7">
        <v>300</v>
      </c>
      <c r="J16" s="187" t="s">
        <v>1545</v>
      </c>
      <c r="K16" s="188"/>
      <c r="L16" s="8" t="s">
        <v>2256</v>
      </c>
      <c r="M16" s="8" t="s">
        <v>267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44168</v>
      </c>
      <c r="I17" s="7">
        <v>1952.2</v>
      </c>
      <c r="J17" s="36" t="s">
        <v>1601</v>
      </c>
      <c r="K17" s="37"/>
      <c r="L17" s="8" t="s">
        <v>1602</v>
      </c>
      <c r="M17" s="8" t="s">
        <v>268</v>
      </c>
    </row>
    <row r="18" spans="1:13" ht="15.75" x14ac:dyDescent="0.25">
      <c r="A18" s="2"/>
      <c r="B18" s="3"/>
      <c r="C18" s="1"/>
      <c r="D18" s="22"/>
      <c r="E18" s="4"/>
      <c r="F18" s="2"/>
      <c r="H18" s="6">
        <v>44169</v>
      </c>
      <c r="I18" s="7">
        <v>3246.34</v>
      </c>
      <c r="J18" s="36" t="s">
        <v>46</v>
      </c>
      <c r="K18" s="37"/>
      <c r="L18" s="8" t="s">
        <v>317</v>
      </c>
      <c r="M18" s="8" t="s">
        <v>268</v>
      </c>
    </row>
    <row r="19" spans="1:13" ht="15.75" x14ac:dyDescent="0.25">
      <c r="A19" s="2" t="s">
        <v>57</v>
      </c>
      <c r="B19" s="3">
        <f>B11-E25</f>
        <v>-2209.7199999999993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-368.75999999999931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1840.9599999999998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16086.69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1558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44160</v>
      </c>
      <c r="I36" s="7">
        <v>1800</v>
      </c>
      <c r="J36" s="182" t="s">
        <v>173</v>
      </c>
      <c r="K36" s="183"/>
      <c r="L36" s="18"/>
      <c r="M36" s="18"/>
    </row>
    <row r="37" spans="1:13" ht="15.75" x14ac:dyDescent="0.25">
      <c r="H37" s="6">
        <v>44148</v>
      </c>
      <c r="I37" s="7">
        <v>1000</v>
      </c>
      <c r="J37" s="182" t="s">
        <v>1589</v>
      </c>
      <c r="K37" s="183"/>
      <c r="L37" s="18"/>
      <c r="M37" s="18"/>
    </row>
    <row r="38" spans="1:13" ht="15.75" x14ac:dyDescent="0.25">
      <c r="F38" t="s">
        <v>2090</v>
      </c>
      <c r="H38" s="6">
        <v>44158</v>
      </c>
      <c r="I38" s="7">
        <v>3000</v>
      </c>
      <c r="J38" s="182" t="s">
        <v>1589</v>
      </c>
      <c r="K38" s="183"/>
      <c r="L38" s="180"/>
      <c r="M38" s="180"/>
    </row>
    <row r="39" spans="1:13" ht="15.75" x14ac:dyDescent="0.25">
      <c r="F39" s="57">
        <f>SUM(I37:I54)+I57+I58+I59</f>
        <v>13902.32</v>
      </c>
      <c r="H39" s="6">
        <v>44162</v>
      </c>
      <c r="I39" s="7">
        <v>1000</v>
      </c>
      <c r="J39" s="182" t="s">
        <v>1590</v>
      </c>
      <c r="K39" s="183"/>
      <c r="L39" s="180"/>
      <c r="M39" s="180"/>
    </row>
    <row r="40" spans="1:13" ht="15.75" x14ac:dyDescent="0.25">
      <c r="H40" s="6">
        <v>44167</v>
      </c>
      <c r="I40" s="35">
        <v>400</v>
      </c>
      <c r="J40" s="208" t="s">
        <v>1591</v>
      </c>
      <c r="K40" s="208"/>
    </row>
    <row r="41" spans="1:13" ht="15.75" x14ac:dyDescent="0.25">
      <c r="H41" s="6">
        <v>44167</v>
      </c>
      <c r="I41" s="4">
        <v>450</v>
      </c>
      <c r="J41" s="208" t="s">
        <v>1592</v>
      </c>
      <c r="K41" s="208"/>
    </row>
    <row r="42" spans="1:13" ht="15.75" x14ac:dyDescent="0.25">
      <c r="H42" s="6">
        <v>44165</v>
      </c>
      <c r="I42" s="7">
        <v>150</v>
      </c>
      <c r="J42" s="182" t="s">
        <v>1593</v>
      </c>
      <c r="K42" s="183"/>
    </row>
    <row r="43" spans="1:13" ht="15.75" x14ac:dyDescent="0.25">
      <c r="H43" s="6">
        <v>44162</v>
      </c>
      <c r="I43" s="35">
        <v>400</v>
      </c>
      <c r="J43" s="182" t="s">
        <v>1595</v>
      </c>
      <c r="K43" s="183"/>
    </row>
    <row r="44" spans="1:13" ht="15.75" x14ac:dyDescent="0.25">
      <c r="H44" s="6">
        <v>44162</v>
      </c>
      <c r="I44" s="35">
        <v>240</v>
      </c>
      <c r="J44" s="182" t="s">
        <v>1596</v>
      </c>
      <c r="K44" s="183"/>
    </row>
    <row r="45" spans="1:13" ht="15.75" x14ac:dyDescent="0.25">
      <c r="H45" s="6">
        <v>44162</v>
      </c>
      <c r="I45" s="35">
        <v>535</v>
      </c>
      <c r="J45" s="182" t="s">
        <v>1598</v>
      </c>
      <c r="K45" s="183"/>
    </row>
    <row r="46" spans="1:13" ht="15.75" x14ac:dyDescent="0.25">
      <c r="H46" s="6">
        <v>44162</v>
      </c>
      <c r="I46" s="35">
        <v>535</v>
      </c>
      <c r="J46" s="182" t="s">
        <v>1597</v>
      </c>
      <c r="K46" s="183"/>
      <c r="L46" s="204"/>
      <c r="M46" s="205"/>
    </row>
    <row r="47" spans="1:13" ht="15.75" x14ac:dyDescent="0.25">
      <c r="H47" s="6">
        <v>44162</v>
      </c>
      <c r="I47" s="35">
        <v>300</v>
      </c>
      <c r="J47" s="182" t="s">
        <v>1599</v>
      </c>
      <c r="K47" s="183"/>
    </row>
    <row r="48" spans="1:13" ht="15.75" x14ac:dyDescent="0.25">
      <c r="H48" s="6">
        <v>44139</v>
      </c>
      <c r="I48" s="35">
        <v>900</v>
      </c>
      <c r="J48" s="208" t="s">
        <v>1612</v>
      </c>
      <c r="K48" s="208"/>
    </row>
    <row r="49" spans="8:11" ht="15.75" x14ac:dyDescent="0.25">
      <c r="H49" s="6">
        <v>44168</v>
      </c>
      <c r="I49" s="4">
        <v>750</v>
      </c>
      <c r="J49" s="208" t="s">
        <v>1600</v>
      </c>
      <c r="K49" s="208"/>
    </row>
    <row r="50" spans="8:11" ht="15.75" x14ac:dyDescent="0.25">
      <c r="H50" s="6">
        <v>44169</v>
      </c>
      <c r="I50" s="4">
        <v>642</v>
      </c>
      <c r="J50" s="182" t="s">
        <v>1597</v>
      </c>
      <c r="K50" s="183"/>
    </row>
    <row r="51" spans="8:11" ht="15.75" x14ac:dyDescent="0.25">
      <c r="H51" s="6">
        <v>44169</v>
      </c>
      <c r="I51" s="4">
        <v>600</v>
      </c>
      <c r="J51" s="182" t="s">
        <v>1604</v>
      </c>
      <c r="K51" s="183"/>
    </row>
    <row r="52" spans="8:11" ht="15.75" x14ac:dyDescent="0.25">
      <c r="H52" s="6">
        <v>44169</v>
      </c>
      <c r="I52" s="4">
        <v>400</v>
      </c>
      <c r="J52" s="182" t="s">
        <v>1595</v>
      </c>
      <c r="K52" s="183"/>
    </row>
    <row r="53" spans="8:11" ht="15.75" x14ac:dyDescent="0.25">
      <c r="H53" s="6">
        <v>44169</v>
      </c>
      <c r="I53" s="4">
        <v>300</v>
      </c>
      <c r="J53" s="182" t="s">
        <v>1603</v>
      </c>
      <c r="K53" s="183"/>
    </row>
    <row r="54" spans="8:11" ht="15.75" x14ac:dyDescent="0.25">
      <c r="H54" s="6">
        <v>44169</v>
      </c>
      <c r="I54" s="4">
        <v>500</v>
      </c>
      <c r="J54" s="182" t="s">
        <v>1605</v>
      </c>
      <c r="K54" s="183"/>
    </row>
    <row r="55" spans="8:11" ht="15.75" x14ac:dyDescent="0.25">
      <c r="H55" s="6">
        <v>44172</v>
      </c>
      <c r="I55" s="4">
        <v>121.89</v>
      </c>
      <c r="J55" s="182" t="s">
        <v>262</v>
      </c>
      <c r="K55" s="183"/>
    </row>
    <row r="56" spans="8:11" ht="15.75" x14ac:dyDescent="0.25">
      <c r="H56" s="6">
        <v>44175</v>
      </c>
      <c r="I56" s="4">
        <v>1000</v>
      </c>
      <c r="J56" s="182" t="s">
        <v>1606</v>
      </c>
      <c r="K56" s="183"/>
    </row>
    <row r="57" spans="8:11" ht="15.75" x14ac:dyDescent="0.25">
      <c r="H57" s="6">
        <v>44138</v>
      </c>
      <c r="I57" s="4">
        <v>358.35</v>
      </c>
      <c r="J57" s="208" t="s">
        <v>1607</v>
      </c>
      <c r="K57" s="208"/>
    </row>
    <row r="58" spans="8:11" ht="15.75" x14ac:dyDescent="0.25">
      <c r="H58" s="6">
        <v>44160</v>
      </c>
      <c r="I58" s="4">
        <v>411.97</v>
      </c>
      <c r="J58" s="208" t="s">
        <v>1608</v>
      </c>
      <c r="K58" s="208"/>
    </row>
    <row r="59" spans="8:11" ht="15.75" x14ac:dyDescent="0.25">
      <c r="H59" s="6">
        <v>44154</v>
      </c>
      <c r="I59" s="4">
        <v>1030</v>
      </c>
      <c r="J59" s="202" t="s">
        <v>1610</v>
      </c>
      <c r="K59" s="203"/>
    </row>
    <row r="60" spans="8:11" ht="15.75" x14ac:dyDescent="0.25">
      <c r="H60" s="6"/>
      <c r="I60" s="4"/>
      <c r="J60" s="202"/>
      <c r="K60" s="203"/>
    </row>
    <row r="61" spans="8:11" ht="15.75" x14ac:dyDescent="0.25">
      <c r="H61" s="6"/>
      <c r="I61" s="4"/>
      <c r="J61" s="202"/>
      <c r="K61" s="203"/>
    </row>
    <row r="62" spans="8:11" ht="15.75" x14ac:dyDescent="0.25">
      <c r="H62" s="6"/>
      <c r="I62" s="4"/>
      <c r="J62" s="202"/>
      <c r="K62" s="203"/>
    </row>
  </sheetData>
  <mergeCells count="81">
    <mergeCell ref="J58:K58"/>
    <mergeCell ref="J59:K59"/>
    <mergeCell ref="J60:K60"/>
    <mergeCell ref="J61:K61"/>
    <mergeCell ref="J62:K62"/>
    <mergeCell ref="J53:K53"/>
    <mergeCell ref="J54:K54"/>
    <mergeCell ref="J10:K10"/>
    <mergeCell ref="J12:K12"/>
    <mergeCell ref="J13:K13"/>
    <mergeCell ref="J14:K14"/>
    <mergeCell ref="J47:K47"/>
    <mergeCell ref="J48:K48"/>
    <mergeCell ref="J49:K49"/>
    <mergeCell ref="J50:K50"/>
    <mergeCell ref="J51:K51"/>
    <mergeCell ref="J52:K52"/>
    <mergeCell ref="J42:K42"/>
    <mergeCell ref="J43:K43"/>
    <mergeCell ref="J44:K44"/>
    <mergeCell ref="J45:K45"/>
    <mergeCell ref="J46:K46"/>
    <mergeCell ref="L46:M46"/>
    <mergeCell ref="J38:K38"/>
    <mergeCell ref="L38:M38"/>
    <mergeCell ref="J39:K39"/>
    <mergeCell ref="L39:M39"/>
    <mergeCell ref="J40:K40"/>
    <mergeCell ref="J41:K41"/>
    <mergeCell ref="J37:K37"/>
    <mergeCell ref="L31:M31"/>
    <mergeCell ref="A32:B32"/>
    <mergeCell ref="C32:D32"/>
    <mergeCell ref="E32:F32"/>
    <mergeCell ref="A33:B33"/>
    <mergeCell ref="C33:D33"/>
    <mergeCell ref="E33:F33"/>
    <mergeCell ref="H34:K34"/>
    <mergeCell ref="L34:M34"/>
    <mergeCell ref="J35:K35"/>
    <mergeCell ref="L35:M35"/>
    <mergeCell ref="J36:K36"/>
    <mergeCell ref="A28:F30"/>
    <mergeCell ref="L28:M28"/>
    <mergeCell ref="H29:I29"/>
    <mergeCell ref="J29:K29"/>
    <mergeCell ref="L29:M29"/>
    <mergeCell ref="H30:I30"/>
    <mergeCell ref="J30:K30"/>
    <mergeCell ref="L30:M30"/>
    <mergeCell ref="A24:B24"/>
    <mergeCell ref="J24:K24"/>
    <mergeCell ref="J25:K25"/>
    <mergeCell ref="J26:K26"/>
    <mergeCell ref="D27:E27"/>
    <mergeCell ref="I27:M27"/>
    <mergeCell ref="J23:K23"/>
    <mergeCell ref="J9:K9"/>
    <mergeCell ref="J11:K11"/>
    <mergeCell ref="J15:K15"/>
    <mergeCell ref="J16:K16"/>
    <mergeCell ref="J19:K19"/>
    <mergeCell ref="J20:K20"/>
    <mergeCell ref="J21:K21"/>
    <mergeCell ref="J22:K22"/>
    <mergeCell ref="J55:K55"/>
    <mergeCell ref="J56:K56"/>
    <mergeCell ref="J57:K57"/>
    <mergeCell ref="A1:B1"/>
    <mergeCell ref="D1:E1"/>
    <mergeCell ref="H1:M1"/>
    <mergeCell ref="A2:B2"/>
    <mergeCell ref="D2:E2"/>
    <mergeCell ref="J2:K2"/>
    <mergeCell ref="A17:B17"/>
    <mergeCell ref="J3:K3"/>
    <mergeCell ref="J4:K4"/>
    <mergeCell ref="J5:K5"/>
    <mergeCell ref="J6:K6"/>
    <mergeCell ref="J7:K7"/>
    <mergeCell ref="J8:K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Planilha58"/>
  <dimension ref="A1:M73"/>
  <sheetViews>
    <sheetView topLeftCell="H1" workbookViewId="0">
      <selection activeCell="L8" sqref="L8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1271</v>
      </c>
      <c r="B1" s="184"/>
      <c r="C1" s="10"/>
      <c r="D1" s="184" t="s">
        <v>55</v>
      </c>
      <c r="E1" s="184"/>
      <c r="F1" s="26" t="s">
        <v>1249</v>
      </c>
      <c r="H1" s="184" t="s">
        <v>1613</v>
      </c>
      <c r="I1" s="184"/>
      <c r="J1" s="184"/>
      <c r="K1" s="184"/>
      <c r="L1" s="184"/>
      <c r="M1" s="184"/>
    </row>
    <row r="2" spans="1:13" ht="18.75" x14ac:dyDescent="0.3">
      <c r="A2" s="184" t="s">
        <v>739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39566.400000000001</v>
      </c>
      <c r="C3" s="11"/>
      <c r="D3" s="22">
        <v>43900</v>
      </c>
      <c r="E3" s="4">
        <v>106.85</v>
      </c>
      <c r="F3" s="26" t="s">
        <v>1614</v>
      </c>
      <c r="H3" s="6">
        <v>44176</v>
      </c>
      <c r="I3" s="7">
        <v>500</v>
      </c>
      <c r="J3" s="187" t="s">
        <v>1617</v>
      </c>
      <c r="K3" s="188"/>
      <c r="L3" s="8" t="s">
        <v>1618</v>
      </c>
      <c r="M3" s="8" t="s">
        <v>268</v>
      </c>
    </row>
    <row r="4" spans="1:13" ht="15.75" x14ac:dyDescent="0.25">
      <c r="A4" s="2" t="s">
        <v>3</v>
      </c>
      <c r="B4" s="3"/>
      <c r="C4" s="11"/>
      <c r="D4" s="22">
        <v>43922</v>
      </c>
      <c r="E4" s="4">
        <v>259.74</v>
      </c>
      <c r="F4" s="26" t="s">
        <v>1615</v>
      </c>
      <c r="H4" s="6">
        <v>44179</v>
      </c>
      <c r="I4" s="7">
        <v>300</v>
      </c>
      <c r="J4" s="187" t="s">
        <v>1565</v>
      </c>
      <c r="K4" s="188"/>
      <c r="L4" s="8" t="s">
        <v>1647</v>
      </c>
      <c r="M4" s="8" t="s">
        <v>268</v>
      </c>
    </row>
    <row r="5" spans="1:13" ht="15.75" x14ac:dyDescent="0.25">
      <c r="A5" s="2" t="s">
        <v>4</v>
      </c>
      <c r="B5" s="3">
        <f>SUM(I36:I72)</f>
        <v>18767.88</v>
      </c>
      <c r="C5" s="11"/>
      <c r="D5" s="5">
        <v>44028</v>
      </c>
      <c r="E5" s="4">
        <v>234.87</v>
      </c>
      <c r="F5" s="50" t="s">
        <v>1616</v>
      </c>
      <c r="H5" s="6">
        <v>44180</v>
      </c>
      <c r="I5" s="7">
        <v>200</v>
      </c>
      <c r="J5" s="187"/>
      <c r="K5" s="188"/>
      <c r="L5" s="8" t="s">
        <v>2233</v>
      </c>
      <c r="M5" s="8" t="s">
        <v>267</v>
      </c>
    </row>
    <row r="6" spans="1:13" ht="15.75" x14ac:dyDescent="0.25">
      <c r="A6" s="2"/>
      <c r="B6" s="3"/>
      <c r="C6" s="11"/>
      <c r="D6" s="22">
        <v>44028</v>
      </c>
      <c r="E6" s="4">
        <v>176.16</v>
      </c>
      <c r="F6" s="26" t="s">
        <v>1447</v>
      </c>
      <c r="H6" s="6">
        <v>44180</v>
      </c>
      <c r="I6" s="7">
        <v>500</v>
      </c>
      <c r="J6" s="36" t="s">
        <v>1617</v>
      </c>
      <c r="K6" s="37"/>
      <c r="L6" s="8" t="s">
        <v>1618</v>
      </c>
      <c r="M6" s="8" t="s">
        <v>268</v>
      </c>
    </row>
    <row r="7" spans="1:13" ht="15.75" x14ac:dyDescent="0.25">
      <c r="A7" s="12" t="s">
        <v>5</v>
      </c>
      <c r="B7" s="25">
        <f>B3+B4-B5</f>
        <v>20798.52</v>
      </c>
      <c r="C7" s="11"/>
      <c r="D7" s="22">
        <v>44560</v>
      </c>
      <c r="E7" s="4">
        <v>531.66999999999996</v>
      </c>
      <c r="F7" s="26" t="s">
        <v>1650</v>
      </c>
      <c r="H7" s="6">
        <v>44180</v>
      </c>
      <c r="I7" s="7">
        <v>1443.15</v>
      </c>
      <c r="J7" s="187" t="s">
        <v>763</v>
      </c>
      <c r="K7" s="188"/>
      <c r="L7" s="8" t="s">
        <v>2357</v>
      </c>
      <c r="M7" s="8" t="s">
        <v>267</v>
      </c>
    </row>
    <row r="8" spans="1:13" ht="15.75" x14ac:dyDescent="0.25">
      <c r="A8" s="2"/>
      <c r="B8" s="3"/>
      <c r="C8" s="11"/>
      <c r="D8" s="5"/>
      <c r="E8" s="4"/>
      <c r="F8" s="50"/>
      <c r="H8" s="6">
        <v>44180</v>
      </c>
      <c r="I8" s="7">
        <v>1048.25</v>
      </c>
      <c r="J8" s="187" t="s">
        <v>788</v>
      </c>
      <c r="K8" s="188"/>
      <c r="L8" s="8" t="s">
        <v>1648</v>
      </c>
      <c r="M8" s="8" t="s">
        <v>268</v>
      </c>
    </row>
    <row r="9" spans="1:13" ht="15.75" x14ac:dyDescent="0.25">
      <c r="A9" s="2"/>
      <c r="B9" s="3"/>
      <c r="C9" s="11"/>
      <c r="D9" s="22"/>
      <c r="E9" s="4"/>
      <c r="F9" s="26"/>
      <c r="G9" s="42"/>
      <c r="H9" s="6">
        <v>44545</v>
      </c>
      <c r="I9" s="7">
        <v>1000</v>
      </c>
      <c r="J9" s="187" t="s">
        <v>290</v>
      </c>
      <c r="K9" s="188"/>
      <c r="L9" s="8" t="s">
        <v>1649</v>
      </c>
      <c r="M9" s="8" t="s">
        <v>268</v>
      </c>
    </row>
    <row r="10" spans="1:13" ht="15.75" x14ac:dyDescent="0.25">
      <c r="A10" s="2"/>
      <c r="B10" s="3"/>
      <c r="C10" s="11"/>
      <c r="D10" s="22"/>
      <c r="E10" s="4"/>
      <c r="F10" s="26"/>
      <c r="H10" s="6">
        <v>44183</v>
      </c>
      <c r="I10" s="7">
        <v>2000</v>
      </c>
      <c r="J10" s="187" t="s">
        <v>788</v>
      </c>
      <c r="K10" s="188"/>
      <c r="L10" s="8" t="s">
        <v>1632</v>
      </c>
      <c r="M10" s="8" t="s">
        <v>268</v>
      </c>
    </row>
    <row r="11" spans="1:13" ht="15.75" x14ac:dyDescent="0.25">
      <c r="A11" s="2" t="s">
        <v>59</v>
      </c>
      <c r="B11" s="3">
        <f>(B7-B9)/2</f>
        <v>10399.26</v>
      </c>
      <c r="C11" s="11"/>
      <c r="D11" s="22"/>
      <c r="E11" s="4"/>
      <c r="F11" s="26"/>
      <c r="H11" s="6">
        <v>44183</v>
      </c>
      <c r="I11" s="7">
        <v>75</v>
      </c>
      <c r="J11" s="187" t="s">
        <v>173</v>
      </c>
      <c r="K11" s="188"/>
      <c r="L11" s="8"/>
      <c r="M11" s="8" t="s">
        <v>267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44183</v>
      </c>
      <c r="I12" s="7">
        <v>30000</v>
      </c>
      <c r="J12" s="187" t="s">
        <v>1635</v>
      </c>
      <c r="K12" s="188"/>
      <c r="L12" s="8" t="s">
        <v>419</v>
      </c>
      <c r="M12" s="8" t="s">
        <v>268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44553</v>
      </c>
      <c r="I13" s="7">
        <v>500</v>
      </c>
      <c r="J13" s="187" t="s">
        <v>788</v>
      </c>
      <c r="K13" s="188"/>
      <c r="L13" s="8" t="s">
        <v>1572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44558</v>
      </c>
      <c r="I14" s="7">
        <v>1000</v>
      </c>
      <c r="J14" s="187" t="s">
        <v>788</v>
      </c>
      <c r="K14" s="188"/>
      <c r="L14" s="8" t="s">
        <v>1465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44204</v>
      </c>
      <c r="I15" s="7">
        <v>1000</v>
      </c>
      <c r="J15" s="187" t="s">
        <v>788</v>
      </c>
      <c r="K15" s="188"/>
      <c r="L15" s="8" t="s">
        <v>1653</v>
      </c>
      <c r="M15" s="8" t="s">
        <v>268</v>
      </c>
    </row>
    <row r="16" spans="1:13" ht="15.75" x14ac:dyDescent="0.25">
      <c r="A16" s="2"/>
      <c r="B16" s="2"/>
      <c r="C16" s="1"/>
      <c r="D16" s="22"/>
      <c r="E16" s="4"/>
      <c r="F16" s="26"/>
      <c r="H16" s="6"/>
      <c r="I16" s="7"/>
      <c r="J16" s="187"/>
      <c r="K16" s="188"/>
      <c r="L16" s="8"/>
      <c r="M16" s="8"/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/>
      <c r="I17" s="7"/>
      <c r="J17" s="187"/>
      <c r="K17" s="188"/>
      <c r="L17" s="8"/>
      <c r="M17" s="8"/>
    </row>
    <row r="18" spans="1:13" ht="15.75" x14ac:dyDescent="0.25">
      <c r="A18" s="2"/>
      <c r="B18" s="3"/>
      <c r="C18" s="1"/>
      <c r="D18" s="22"/>
      <c r="E18" s="4"/>
      <c r="F18" s="2"/>
      <c r="H18" s="6"/>
      <c r="I18" s="7"/>
      <c r="J18" s="187"/>
      <c r="K18" s="188"/>
      <c r="L18" s="8"/>
      <c r="M18" s="8"/>
    </row>
    <row r="19" spans="1:13" ht="15.75" x14ac:dyDescent="0.25">
      <c r="A19" s="2" t="s">
        <v>57</v>
      </c>
      <c r="B19" s="3">
        <f>B11-E25</f>
        <v>9089.9700000000012</v>
      </c>
      <c r="C19" s="1"/>
      <c r="D19" s="5"/>
      <c r="E19" s="4"/>
      <c r="F19" s="26"/>
      <c r="H19" s="6"/>
      <c r="I19" s="7"/>
      <c r="J19" s="187"/>
      <c r="K19" s="188"/>
      <c r="L19" s="8"/>
      <c r="M19" s="8"/>
    </row>
    <row r="20" spans="1:13" ht="15.75" x14ac:dyDescent="0.25">
      <c r="A20" s="2" t="s">
        <v>12</v>
      </c>
      <c r="B20" s="3">
        <f>B11</f>
        <v>10399.26</v>
      </c>
      <c r="C20" s="1"/>
      <c r="D20" s="5"/>
      <c r="E20" s="4"/>
      <c r="F20" s="26"/>
      <c r="H20" s="6"/>
      <c r="I20" s="7"/>
      <c r="J20" s="187"/>
      <c r="K20" s="188"/>
      <c r="L20" s="8"/>
      <c r="M20" s="8"/>
    </row>
    <row r="21" spans="1:13" ht="15.75" x14ac:dyDescent="0.25">
      <c r="A21" s="2"/>
      <c r="B21" s="2"/>
      <c r="C21" s="1"/>
      <c r="D21" s="5"/>
      <c r="E21" s="4"/>
      <c r="F21" s="26"/>
      <c r="H21" s="6"/>
      <c r="I21" s="7"/>
      <c r="J21" s="187"/>
      <c r="K21" s="188"/>
      <c r="L21" s="8"/>
      <c r="M21" s="8"/>
    </row>
    <row r="22" spans="1:13" ht="15.75" x14ac:dyDescent="0.25">
      <c r="A22" s="2"/>
      <c r="B22" s="2"/>
      <c r="C22" s="1"/>
      <c r="D22" s="22"/>
      <c r="E22" s="4"/>
      <c r="F22" s="26"/>
      <c r="H22" s="6"/>
      <c r="I22" s="7"/>
      <c r="J22" s="187"/>
      <c r="K22" s="188"/>
      <c r="L22" s="8"/>
      <c r="M22" s="8"/>
    </row>
    <row r="23" spans="1:13" ht="15.75" x14ac:dyDescent="0.25">
      <c r="A23" s="1"/>
      <c r="B23" s="1"/>
      <c r="C23" s="1"/>
      <c r="D23" s="22"/>
      <c r="E23" s="4"/>
      <c r="F23" s="2"/>
      <c r="G23" s="1"/>
      <c r="H23" s="6"/>
      <c r="I23" s="7"/>
      <c r="J23" s="187"/>
      <c r="K23" s="188"/>
      <c r="L23" s="8"/>
      <c r="M23" s="8"/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1309.29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39566.400000000001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1558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H36" s="6">
        <v>44188</v>
      </c>
      <c r="I36" s="7">
        <v>1800</v>
      </c>
      <c r="J36" s="182" t="s">
        <v>173</v>
      </c>
      <c r="K36" s="183"/>
      <c r="L36" s="18"/>
      <c r="M36" s="18"/>
    </row>
    <row r="37" spans="1:13" ht="15.75" x14ac:dyDescent="0.25">
      <c r="F37" t="s">
        <v>2090</v>
      </c>
      <c r="H37" s="6">
        <v>44138</v>
      </c>
      <c r="I37" s="4">
        <v>358.33</v>
      </c>
      <c r="J37" s="208" t="s">
        <v>1620</v>
      </c>
      <c r="K37" s="208"/>
      <c r="L37" s="18"/>
      <c r="M37" s="18"/>
    </row>
    <row r="38" spans="1:13" ht="15.75" x14ac:dyDescent="0.25">
      <c r="F38" s="57">
        <f>SUM(I37:I63,I66,I67,I68,I69,I70)</f>
        <v>15853.4</v>
      </c>
      <c r="H38" s="6">
        <v>44160</v>
      </c>
      <c r="I38" s="4">
        <v>411.97</v>
      </c>
      <c r="J38" s="208" t="s">
        <v>1621</v>
      </c>
      <c r="K38" s="208"/>
      <c r="L38" s="180"/>
      <c r="M38" s="180"/>
    </row>
    <row r="39" spans="1:13" ht="15.75" x14ac:dyDescent="0.25">
      <c r="H39" s="6">
        <v>44168</v>
      </c>
      <c r="I39" s="4">
        <v>750</v>
      </c>
      <c r="J39" s="208" t="s">
        <v>1619</v>
      </c>
      <c r="K39" s="208"/>
      <c r="L39" s="180"/>
      <c r="M39" s="180"/>
    </row>
    <row r="40" spans="1:13" ht="15.75" x14ac:dyDescent="0.25">
      <c r="H40" s="6">
        <v>44534</v>
      </c>
      <c r="I40" s="4">
        <v>358.1</v>
      </c>
      <c r="J40" s="202" t="s">
        <v>1646</v>
      </c>
      <c r="K40" s="203"/>
    </row>
    <row r="41" spans="1:13" ht="15.75" x14ac:dyDescent="0.25">
      <c r="H41" s="6">
        <v>44176</v>
      </c>
      <c r="I41" s="4">
        <v>120</v>
      </c>
      <c r="J41" s="202" t="s">
        <v>1623</v>
      </c>
      <c r="K41" s="203"/>
    </row>
    <row r="42" spans="1:13" ht="15.75" x14ac:dyDescent="0.25">
      <c r="H42" s="6">
        <v>44176</v>
      </c>
      <c r="I42" s="4">
        <v>400</v>
      </c>
      <c r="J42" s="182" t="s">
        <v>1624</v>
      </c>
      <c r="K42" s="183"/>
    </row>
    <row r="43" spans="1:13" ht="15.75" x14ac:dyDescent="0.25">
      <c r="H43" s="6">
        <v>44176</v>
      </c>
      <c r="I43" s="7">
        <v>530</v>
      </c>
      <c r="J43" s="182" t="s">
        <v>1625</v>
      </c>
      <c r="K43" s="183"/>
    </row>
    <row r="44" spans="1:13" ht="15.75" x14ac:dyDescent="0.25">
      <c r="H44" s="6">
        <v>44176</v>
      </c>
      <c r="I44" s="35">
        <v>360</v>
      </c>
      <c r="J44" s="182" t="s">
        <v>1628</v>
      </c>
      <c r="K44" s="183"/>
    </row>
    <row r="45" spans="1:13" ht="15.75" x14ac:dyDescent="0.25">
      <c r="H45" s="6">
        <v>44176</v>
      </c>
      <c r="I45" s="35">
        <v>240</v>
      </c>
      <c r="J45" s="182" t="s">
        <v>1655</v>
      </c>
      <c r="K45" s="183"/>
    </row>
    <row r="46" spans="1:13" ht="15.75" x14ac:dyDescent="0.25">
      <c r="H46" s="6"/>
      <c r="I46" s="35">
        <v>240</v>
      </c>
      <c r="J46" s="182" t="s">
        <v>1626</v>
      </c>
      <c r="K46" s="183"/>
      <c r="L46" s="204"/>
      <c r="M46" s="205"/>
    </row>
    <row r="47" spans="1:13" ht="15.75" x14ac:dyDescent="0.25">
      <c r="H47" s="6">
        <v>44176</v>
      </c>
      <c r="I47" s="4">
        <v>120</v>
      </c>
      <c r="J47" s="202" t="s">
        <v>1622</v>
      </c>
      <c r="K47" s="203"/>
    </row>
    <row r="48" spans="1:13" ht="15.75" x14ac:dyDescent="0.25">
      <c r="H48" s="6">
        <v>44180</v>
      </c>
      <c r="I48" s="4">
        <v>1030</v>
      </c>
      <c r="J48" s="202" t="s">
        <v>1610</v>
      </c>
      <c r="K48" s="203"/>
    </row>
    <row r="49" spans="8:11" ht="15.75" x14ac:dyDescent="0.25">
      <c r="H49" s="6">
        <v>44183</v>
      </c>
      <c r="I49" s="35">
        <v>400</v>
      </c>
      <c r="J49" s="182" t="s">
        <v>1624</v>
      </c>
      <c r="K49" s="183"/>
    </row>
    <row r="50" spans="8:11" ht="15.75" x14ac:dyDescent="0.25">
      <c r="H50" s="6">
        <v>44183</v>
      </c>
      <c r="I50" s="4">
        <v>650</v>
      </c>
      <c r="J50" s="182" t="s">
        <v>1625</v>
      </c>
      <c r="K50" s="183"/>
    </row>
    <row r="51" spans="8:11" ht="15.75" x14ac:dyDescent="0.25">
      <c r="H51" s="6">
        <v>44183</v>
      </c>
      <c r="I51" s="4">
        <v>360</v>
      </c>
      <c r="J51" s="182" t="s">
        <v>1627</v>
      </c>
      <c r="K51" s="183"/>
    </row>
    <row r="52" spans="8:11" ht="15.75" x14ac:dyDescent="0.25">
      <c r="H52" s="6">
        <v>44183</v>
      </c>
      <c r="I52" s="4">
        <v>120</v>
      </c>
      <c r="J52" s="182" t="s">
        <v>1629</v>
      </c>
      <c r="K52" s="183"/>
    </row>
    <row r="53" spans="8:11" ht="15.75" x14ac:dyDescent="0.25">
      <c r="H53" s="6">
        <v>44183</v>
      </c>
      <c r="I53" s="4">
        <v>60</v>
      </c>
      <c r="J53" s="182" t="s">
        <v>1630</v>
      </c>
      <c r="K53" s="183"/>
    </row>
    <row r="54" spans="8:11" ht="15.75" x14ac:dyDescent="0.25">
      <c r="H54" s="6">
        <v>44183</v>
      </c>
      <c r="I54" s="4">
        <v>60</v>
      </c>
      <c r="J54" s="182" t="s">
        <v>1631</v>
      </c>
      <c r="K54" s="183"/>
    </row>
    <row r="55" spans="8:11" ht="15.75" x14ac:dyDescent="0.25">
      <c r="H55" s="6">
        <v>44183</v>
      </c>
      <c r="I55" s="4">
        <v>35</v>
      </c>
      <c r="J55" s="182" t="s">
        <v>1594</v>
      </c>
      <c r="K55" s="183"/>
    </row>
    <row r="56" spans="8:11" ht="15.75" x14ac:dyDescent="0.25">
      <c r="H56" s="6">
        <v>44183</v>
      </c>
      <c r="I56" s="4">
        <v>60</v>
      </c>
      <c r="J56" s="182" t="s">
        <v>1594</v>
      </c>
      <c r="K56" s="183"/>
    </row>
    <row r="57" spans="8:11" ht="15.75" x14ac:dyDescent="0.25">
      <c r="H57" s="6">
        <v>44187</v>
      </c>
      <c r="I57" s="4">
        <v>450</v>
      </c>
      <c r="J57" s="182" t="s">
        <v>1633</v>
      </c>
      <c r="K57" s="183"/>
    </row>
    <row r="58" spans="8:11" ht="15.75" x14ac:dyDescent="0.25">
      <c r="H58" s="6">
        <v>44187</v>
      </c>
      <c r="I58" s="4">
        <v>4900</v>
      </c>
      <c r="J58" s="182" t="s">
        <v>1634</v>
      </c>
      <c r="K58" s="183"/>
    </row>
    <row r="59" spans="8:11" ht="15.75" x14ac:dyDescent="0.25">
      <c r="H59" s="6">
        <v>44188</v>
      </c>
      <c r="I59" s="4">
        <v>240</v>
      </c>
      <c r="J59" s="182" t="s">
        <v>1636</v>
      </c>
      <c r="K59" s="183"/>
    </row>
    <row r="60" spans="8:11" ht="15.75" x14ac:dyDescent="0.25">
      <c r="H60" s="6">
        <v>44188</v>
      </c>
      <c r="I60" s="4">
        <v>180</v>
      </c>
      <c r="J60" s="202" t="s">
        <v>1628</v>
      </c>
      <c r="K60" s="203"/>
    </row>
    <row r="61" spans="8:11" ht="15.75" x14ac:dyDescent="0.25">
      <c r="H61" s="6">
        <v>44188</v>
      </c>
      <c r="I61" s="4">
        <v>60</v>
      </c>
      <c r="J61" s="202" t="s">
        <v>1594</v>
      </c>
      <c r="K61" s="203"/>
    </row>
    <row r="62" spans="8:11" ht="15.75" x14ac:dyDescent="0.25">
      <c r="H62" s="6">
        <v>44188</v>
      </c>
      <c r="I62" s="4">
        <v>390</v>
      </c>
      <c r="J62" s="202" t="s">
        <v>1625</v>
      </c>
      <c r="K62" s="203"/>
    </row>
    <row r="63" spans="8:11" ht="15.75" x14ac:dyDescent="0.25">
      <c r="H63" s="6">
        <v>44188</v>
      </c>
      <c r="I63" s="4">
        <v>60</v>
      </c>
      <c r="J63" s="202" t="s">
        <v>1594</v>
      </c>
      <c r="K63" s="203"/>
    </row>
    <row r="64" spans="8:11" ht="15.75" x14ac:dyDescent="0.25">
      <c r="H64" s="6">
        <v>44188</v>
      </c>
      <c r="I64" s="4">
        <v>91.94</v>
      </c>
      <c r="J64" s="182" t="s">
        <v>1637</v>
      </c>
      <c r="K64" s="183"/>
    </row>
    <row r="65" spans="8:11" ht="15.75" x14ac:dyDescent="0.25">
      <c r="H65" s="6">
        <v>44188</v>
      </c>
      <c r="I65" s="4">
        <v>135.54</v>
      </c>
      <c r="J65" s="182" t="s">
        <v>1293</v>
      </c>
      <c r="K65" s="183"/>
    </row>
    <row r="66" spans="8:11" ht="15.75" x14ac:dyDescent="0.25">
      <c r="H66" s="6">
        <v>44560</v>
      </c>
      <c r="I66" s="4">
        <v>590</v>
      </c>
      <c r="J66" s="182" t="s">
        <v>1651</v>
      </c>
      <c r="K66" s="183"/>
    </row>
    <row r="67" spans="8:11" ht="15.75" x14ac:dyDescent="0.25">
      <c r="H67" s="6">
        <v>44204</v>
      </c>
      <c r="I67" s="4">
        <v>520</v>
      </c>
      <c r="J67" s="182" t="s">
        <v>1625</v>
      </c>
      <c r="K67" s="183"/>
    </row>
    <row r="68" spans="8:11" ht="15.75" x14ac:dyDescent="0.25">
      <c r="H68" s="6">
        <v>44204</v>
      </c>
      <c r="I68" s="4">
        <v>500</v>
      </c>
      <c r="J68" s="182" t="s">
        <v>1636</v>
      </c>
      <c r="K68" s="183"/>
    </row>
    <row r="69" spans="8:11" ht="15.75" x14ac:dyDescent="0.25">
      <c r="H69" s="6">
        <v>44204</v>
      </c>
      <c r="I69" s="4">
        <v>300</v>
      </c>
      <c r="J69" s="182" t="s">
        <v>1628</v>
      </c>
      <c r="K69" s="183"/>
    </row>
    <row r="70" spans="8:11" ht="15.75" x14ac:dyDescent="0.25">
      <c r="H70" s="6">
        <v>44207</v>
      </c>
      <c r="I70" s="4">
        <v>1000</v>
      </c>
      <c r="J70" s="182" t="s">
        <v>1654</v>
      </c>
      <c r="K70" s="183"/>
    </row>
    <row r="71" spans="8:11" ht="15.75" x14ac:dyDescent="0.25">
      <c r="H71" s="6">
        <v>44201</v>
      </c>
      <c r="I71" s="4">
        <v>707</v>
      </c>
      <c r="J71" s="182" t="s">
        <v>1656</v>
      </c>
      <c r="K71" s="183"/>
    </row>
    <row r="72" spans="8:11" ht="15.75" x14ac:dyDescent="0.25">
      <c r="H72" s="6">
        <v>44203</v>
      </c>
      <c r="I72" s="4">
        <v>180</v>
      </c>
      <c r="J72" s="182" t="s">
        <v>1657</v>
      </c>
      <c r="K72" s="183"/>
    </row>
    <row r="73" spans="8:11" ht="15.75" x14ac:dyDescent="0.25">
      <c r="H73" s="6"/>
      <c r="I73" s="4"/>
      <c r="J73" s="182"/>
      <c r="K73" s="183"/>
    </row>
  </sheetData>
  <mergeCells count="93">
    <mergeCell ref="A1:B1"/>
    <mergeCell ref="D1:E1"/>
    <mergeCell ref="H1:M1"/>
    <mergeCell ref="A2:B2"/>
    <mergeCell ref="D2:E2"/>
    <mergeCell ref="J2:K2"/>
    <mergeCell ref="J14:K14"/>
    <mergeCell ref="J3:K3"/>
    <mergeCell ref="J4:K4"/>
    <mergeCell ref="J5:K5"/>
    <mergeCell ref="J7:K7"/>
    <mergeCell ref="J8:K8"/>
    <mergeCell ref="J9:K9"/>
    <mergeCell ref="J10:K10"/>
    <mergeCell ref="J11:K11"/>
    <mergeCell ref="J12:K12"/>
    <mergeCell ref="J13:K13"/>
    <mergeCell ref="J26:K26"/>
    <mergeCell ref="J15:K15"/>
    <mergeCell ref="J16:K16"/>
    <mergeCell ref="A17:B17"/>
    <mergeCell ref="J19:K19"/>
    <mergeCell ref="J20:K20"/>
    <mergeCell ref="J21:K21"/>
    <mergeCell ref="J22:K22"/>
    <mergeCell ref="J23:K23"/>
    <mergeCell ref="A24:B24"/>
    <mergeCell ref="J24:K24"/>
    <mergeCell ref="J25:K25"/>
    <mergeCell ref="J17:K17"/>
    <mergeCell ref="J18:K18"/>
    <mergeCell ref="D27:E27"/>
    <mergeCell ref="I27:M27"/>
    <mergeCell ref="A28:F30"/>
    <mergeCell ref="L28:M28"/>
    <mergeCell ref="H29:I29"/>
    <mergeCell ref="J29:K29"/>
    <mergeCell ref="L29:M29"/>
    <mergeCell ref="H30:I30"/>
    <mergeCell ref="J30:K30"/>
    <mergeCell ref="L30:M30"/>
    <mergeCell ref="J37:K37"/>
    <mergeCell ref="L31:M31"/>
    <mergeCell ref="A32:B32"/>
    <mergeCell ref="C32:D32"/>
    <mergeCell ref="E32:F32"/>
    <mergeCell ref="A33:B33"/>
    <mergeCell ref="C33:D33"/>
    <mergeCell ref="E33:F33"/>
    <mergeCell ref="H34:K34"/>
    <mergeCell ref="L34:M34"/>
    <mergeCell ref="J35:K35"/>
    <mergeCell ref="L35:M35"/>
    <mergeCell ref="J36:K36"/>
    <mergeCell ref="L46:M46"/>
    <mergeCell ref="J38:K38"/>
    <mergeCell ref="L38:M38"/>
    <mergeCell ref="J39:K39"/>
    <mergeCell ref="L39:M39"/>
    <mergeCell ref="J40:K40"/>
    <mergeCell ref="J41:K41"/>
    <mergeCell ref="J58:K58"/>
    <mergeCell ref="J52:K52"/>
    <mergeCell ref="J42:K42"/>
    <mergeCell ref="J43:K43"/>
    <mergeCell ref="J44:K44"/>
    <mergeCell ref="J45:K45"/>
    <mergeCell ref="J46:K46"/>
    <mergeCell ref="J47:K47"/>
    <mergeCell ref="J48:K48"/>
    <mergeCell ref="J49:K49"/>
    <mergeCell ref="J50:K50"/>
    <mergeCell ref="J51:K51"/>
    <mergeCell ref="J53:K53"/>
    <mergeCell ref="J54:K54"/>
    <mergeCell ref="J55:K55"/>
    <mergeCell ref="J56:K56"/>
    <mergeCell ref="J57:K57"/>
    <mergeCell ref="J70:K70"/>
    <mergeCell ref="J71:K71"/>
    <mergeCell ref="J72:K72"/>
    <mergeCell ref="J73:K73"/>
    <mergeCell ref="J59:K59"/>
    <mergeCell ref="J60:K60"/>
    <mergeCell ref="J61:K61"/>
    <mergeCell ref="J62:K62"/>
    <mergeCell ref="J68:K68"/>
    <mergeCell ref="J69:K69"/>
    <mergeCell ref="J63:K63"/>
    <mergeCell ref="J64:K64"/>
    <mergeCell ref="J65:K65"/>
    <mergeCell ref="J66:K66"/>
    <mergeCell ref="J67:K67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Planilha59"/>
  <dimension ref="A1:M120"/>
  <sheetViews>
    <sheetView topLeftCell="F9" zoomScale="85" zoomScaleNormal="85" workbookViewId="0">
      <selection activeCell="H22" sqref="H22:L22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9.140625" customWidth="1"/>
    <col min="5" max="5" width="15" customWidth="1"/>
    <col min="6" max="6" width="15.7109375" customWidth="1"/>
    <col min="7" max="7" width="24.140625" customWidth="1"/>
    <col min="8" max="8" width="16" customWidth="1"/>
    <col min="9" max="9" width="16.71093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8.75" x14ac:dyDescent="0.3">
      <c r="A1" s="184" t="s">
        <v>1296</v>
      </c>
      <c r="B1" s="184"/>
      <c r="C1" s="10"/>
      <c r="D1" s="184" t="s">
        <v>55</v>
      </c>
      <c r="E1" s="184"/>
      <c r="F1" s="26" t="s">
        <v>1249</v>
      </c>
      <c r="H1" s="184" t="s">
        <v>1638</v>
      </c>
      <c r="I1" s="184"/>
      <c r="J1" s="184"/>
      <c r="K1" s="184"/>
      <c r="L1" s="184"/>
      <c r="M1" s="184"/>
    </row>
    <row r="2" spans="1:13" ht="18.75" x14ac:dyDescent="0.3">
      <c r="A2" s="184" t="s">
        <v>358</v>
      </c>
      <c r="B2" s="184"/>
      <c r="C2" s="10"/>
      <c r="D2" s="198" t="s">
        <v>11</v>
      </c>
      <c r="E2" s="198"/>
      <c r="F2" s="26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5.75" x14ac:dyDescent="0.25">
      <c r="A3" s="2" t="s">
        <v>2</v>
      </c>
      <c r="B3" s="3">
        <f>I27</f>
        <v>19597.830000000002</v>
      </c>
      <c r="C3" s="11"/>
      <c r="D3" s="22"/>
      <c r="E3" s="4"/>
      <c r="F3" s="26"/>
      <c r="H3" s="6">
        <v>44207</v>
      </c>
      <c r="I3" s="7">
        <v>500</v>
      </c>
      <c r="J3" s="187" t="s">
        <v>139</v>
      </c>
      <c r="K3" s="188"/>
      <c r="L3" s="8" t="s">
        <v>1652</v>
      </c>
      <c r="M3" s="8" t="s">
        <v>268</v>
      </c>
    </row>
    <row r="4" spans="1:13" ht="15.75" x14ac:dyDescent="0.25">
      <c r="A4" s="2"/>
      <c r="B4" s="3"/>
      <c r="C4" s="11"/>
      <c r="D4" s="22">
        <v>43922</v>
      </c>
      <c r="E4" s="4">
        <v>259.74</v>
      </c>
      <c r="F4" s="26" t="s">
        <v>1644</v>
      </c>
      <c r="H4" s="6">
        <v>44207</v>
      </c>
      <c r="I4" s="7">
        <v>799.16</v>
      </c>
      <c r="J4" s="187" t="s">
        <v>1565</v>
      </c>
      <c r="K4" s="188"/>
      <c r="L4" s="8" t="s">
        <v>1556</v>
      </c>
      <c r="M4" s="8" t="s">
        <v>268</v>
      </c>
    </row>
    <row r="5" spans="1:13" ht="15.75" x14ac:dyDescent="0.25">
      <c r="A5" s="2" t="s">
        <v>4</v>
      </c>
      <c r="B5" s="3">
        <f>SUM(I36:I118)</f>
        <v>21094.380000000005</v>
      </c>
      <c r="C5" s="11"/>
      <c r="D5" s="5">
        <v>44028</v>
      </c>
      <c r="E5" s="4">
        <v>234.87</v>
      </c>
      <c r="F5" s="50" t="s">
        <v>1645</v>
      </c>
      <c r="H5" s="6">
        <v>44209</v>
      </c>
      <c r="I5" s="7">
        <v>300</v>
      </c>
      <c r="J5" s="187" t="s">
        <v>1658</v>
      </c>
      <c r="K5" s="188"/>
      <c r="L5" s="8" t="s">
        <v>1659</v>
      </c>
      <c r="M5" s="8" t="s">
        <v>268</v>
      </c>
    </row>
    <row r="6" spans="1:13" ht="15.75" x14ac:dyDescent="0.25">
      <c r="A6" s="2"/>
      <c r="B6" s="3"/>
      <c r="C6" s="11"/>
      <c r="D6" s="22">
        <v>44028</v>
      </c>
      <c r="E6" s="4">
        <v>176.16</v>
      </c>
      <c r="F6" s="26" t="s">
        <v>1493</v>
      </c>
      <c r="H6" s="6">
        <v>44209</v>
      </c>
      <c r="I6" s="7">
        <v>850</v>
      </c>
      <c r="J6" s="187" t="s">
        <v>46</v>
      </c>
      <c r="K6" s="188"/>
      <c r="L6" s="8" t="s">
        <v>1710</v>
      </c>
      <c r="M6" s="8" t="s">
        <v>268</v>
      </c>
    </row>
    <row r="7" spans="1:13" ht="15.75" x14ac:dyDescent="0.25">
      <c r="A7" s="12" t="s">
        <v>5</v>
      </c>
      <c r="B7" s="25">
        <f>B3+B4-B5</f>
        <v>-1496.5500000000029</v>
      </c>
      <c r="C7" s="11"/>
      <c r="D7" s="22">
        <v>44203</v>
      </c>
      <c r="E7" s="4">
        <v>92.66</v>
      </c>
      <c r="F7" s="26" t="s">
        <v>1663</v>
      </c>
      <c r="H7" s="6">
        <v>44210</v>
      </c>
      <c r="I7" s="7">
        <v>976.1</v>
      </c>
      <c r="J7" s="187" t="s">
        <v>1660</v>
      </c>
      <c r="K7" s="188"/>
      <c r="L7" s="8" t="s">
        <v>1618</v>
      </c>
      <c r="M7" s="8" t="s">
        <v>268</v>
      </c>
    </row>
    <row r="8" spans="1:13" ht="15.75" x14ac:dyDescent="0.25">
      <c r="A8" s="2"/>
      <c r="B8" s="3"/>
      <c r="C8" s="11"/>
      <c r="D8" s="5">
        <v>44204</v>
      </c>
      <c r="E8" s="4">
        <v>550.88</v>
      </c>
      <c r="F8" s="50" t="s">
        <v>1664</v>
      </c>
      <c r="H8" s="6">
        <v>44210</v>
      </c>
      <c r="I8" s="7">
        <v>1000</v>
      </c>
      <c r="J8" s="36" t="s">
        <v>290</v>
      </c>
      <c r="K8" s="37"/>
      <c r="L8" s="8" t="s">
        <v>1661</v>
      </c>
      <c r="M8" s="8" t="s">
        <v>268</v>
      </c>
    </row>
    <row r="9" spans="1:13" ht="15.75" x14ac:dyDescent="0.25">
      <c r="A9" s="2"/>
      <c r="B9" s="3"/>
      <c r="C9" s="11"/>
      <c r="D9" s="22">
        <v>44204</v>
      </c>
      <c r="E9" s="4">
        <v>176.2</v>
      </c>
      <c r="F9" s="26" t="s">
        <v>1345</v>
      </c>
      <c r="G9" s="42"/>
      <c r="H9" s="6">
        <v>44218</v>
      </c>
      <c r="I9" s="7">
        <v>1000</v>
      </c>
      <c r="J9" s="36"/>
      <c r="K9" s="37"/>
      <c r="L9" s="8" t="s">
        <v>2243</v>
      </c>
      <c r="M9" s="8" t="s">
        <v>267</v>
      </c>
    </row>
    <row r="10" spans="1:13" ht="15.75" x14ac:dyDescent="0.25">
      <c r="A10" s="2"/>
      <c r="B10" s="3"/>
      <c r="C10" s="11"/>
      <c r="D10" s="22"/>
      <c r="E10" s="4">
        <v>-573.70000000000005</v>
      </c>
      <c r="F10" s="26" t="s">
        <v>1720</v>
      </c>
      <c r="H10" s="6">
        <v>44218</v>
      </c>
      <c r="I10" s="7">
        <v>500</v>
      </c>
      <c r="J10" s="36" t="s">
        <v>1692</v>
      </c>
      <c r="K10" s="37"/>
      <c r="L10" s="8" t="s">
        <v>1077</v>
      </c>
      <c r="M10" s="8" t="s">
        <v>267</v>
      </c>
    </row>
    <row r="11" spans="1:13" ht="15.75" x14ac:dyDescent="0.25">
      <c r="A11" s="2" t="s">
        <v>59</v>
      </c>
      <c r="B11" s="3">
        <f>(B7-B9)/2</f>
        <v>-748.27500000000146</v>
      </c>
      <c r="C11" s="11"/>
      <c r="D11" s="22"/>
      <c r="E11" s="4"/>
      <c r="F11" s="26"/>
      <c r="H11" s="6">
        <v>44221</v>
      </c>
      <c r="I11" s="7">
        <v>75</v>
      </c>
      <c r="J11" s="36" t="s">
        <v>1668</v>
      </c>
      <c r="K11" s="37"/>
      <c r="L11" s="8" t="s">
        <v>1667</v>
      </c>
      <c r="M11" s="8" t="s">
        <v>267</v>
      </c>
    </row>
    <row r="12" spans="1:13" ht="15.75" x14ac:dyDescent="0.25">
      <c r="A12" s="2"/>
      <c r="B12" s="3"/>
      <c r="C12" s="11"/>
      <c r="D12" s="22"/>
      <c r="E12" s="4"/>
      <c r="F12" s="26"/>
      <c r="H12" s="6">
        <v>44224</v>
      </c>
      <c r="I12" s="7">
        <v>500</v>
      </c>
      <c r="J12" s="36" t="s">
        <v>1674</v>
      </c>
      <c r="K12" s="37"/>
      <c r="L12" s="8" t="s">
        <v>1670</v>
      </c>
      <c r="M12" s="8" t="s">
        <v>268</v>
      </c>
    </row>
    <row r="13" spans="1:13" ht="15.75" x14ac:dyDescent="0.25">
      <c r="A13" s="2"/>
      <c r="B13" s="3"/>
      <c r="C13" s="11"/>
      <c r="D13" s="22"/>
      <c r="E13" s="53"/>
      <c r="F13" s="54"/>
      <c r="H13" s="6">
        <v>44222</v>
      </c>
      <c r="I13" s="7">
        <v>2000</v>
      </c>
      <c r="J13" s="36" t="s">
        <v>46</v>
      </c>
      <c r="K13" s="37"/>
      <c r="L13" s="8" t="s">
        <v>1669</v>
      </c>
      <c r="M13" s="8" t="s">
        <v>268</v>
      </c>
    </row>
    <row r="14" spans="1:13" ht="15.75" x14ac:dyDescent="0.25">
      <c r="A14" s="2"/>
      <c r="B14" s="3"/>
      <c r="C14" s="11"/>
      <c r="D14" s="22"/>
      <c r="E14" s="4"/>
      <c r="F14" s="26"/>
      <c r="H14" s="6">
        <v>44224</v>
      </c>
      <c r="I14" s="7">
        <v>584</v>
      </c>
      <c r="J14" s="36" t="s">
        <v>46</v>
      </c>
      <c r="K14" s="37"/>
      <c r="L14" s="8" t="s">
        <v>2249</v>
      </c>
      <c r="M14" s="8" t="s">
        <v>268</v>
      </c>
    </row>
    <row r="15" spans="1:13" ht="15.75" x14ac:dyDescent="0.25">
      <c r="A15" s="2"/>
      <c r="B15" s="3"/>
      <c r="C15" s="11"/>
      <c r="D15" s="22"/>
      <c r="E15" s="4"/>
      <c r="F15" s="26"/>
      <c r="H15" s="6">
        <v>44224</v>
      </c>
      <c r="I15" s="7">
        <v>1000</v>
      </c>
      <c r="J15" s="36" t="s">
        <v>1691</v>
      </c>
      <c r="K15" s="37"/>
      <c r="L15" s="8" t="s">
        <v>2243</v>
      </c>
      <c r="M15" s="8" t="s">
        <v>267</v>
      </c>
    </row>
    <row r="16" spans="1:13" ht="15.75" x14ac:dyDescent="0.25">
      <c r="A16" s="2"/>
      <c r="B16" s="2"/>
      <c r="C16" s="1"/>
      <c r="D16" s="22"/>
      <c r="E16" s="4"/>
      <c r="F16" s="26"/>
      <c r="H16" s="6">
        <v>44224</v>
      </c>
      <c r="I16" s="7">
        <v>1000</v>
      </c>
      <c r="J16" s="36" t="s">
        <v>1692</v>
      </c>
      <c r="K16" s="37"/>
      <c r="L16" s="8" t="s">
        <v>1077</v>
      </c>
      <c r="M16" s="8" t="s">
        <v>267</v>
      </c>
    </row>
    <row r="17" spans="1:13" ht="15.75" x14ac:dyDescent="0.25">
      <c r="A17" s="198" t="s">
        <v>56</v>
      </c>
      <c r="B17" s="198"/>
      <c r="C17" s="1"/>
      <c r="D17" s="22"/>
      <c r="E17" s="21"/>
      <c r="F17" s="26"/>
      <c r="H17" s="6">
        <v>44229</v>
      </c>
      <c r="I17" s="7">
        <v>3117</v>
      </c>
      <c r="J17" s="36" t="s">
        <v>1695</v>
      </c>
      <c r="K17" s="37"/>
      <c r="L17" s="8" t="s">
        <v>1693</v>
      </c>
      <c r="M17" s="8" t="s">
        <v>1694</v>
      </c>
    </row>
    <row r="18" spans="1:13" ht="15.75" x14ac:dyDescent="0.25">
      <c r="A18" s="2"/>
      <c r="B18" s="3"/>
      <c r="C18" s="1"/>
      <c r="D18" s="22"/>
      <c r="E18" s="4"/>
      <c r="F18" s="2"/>
      <c r="H18" s="6">
        <v>44229</v>
      </c>
      <c r="I18" s="7">
        <v>1000</v>
      </c>
      <c r="J18" s="36" t="s">
        <v>1691</v>
      </c>
      <c r="K18" s="37"/>
      <c r="L18" s="8" t="s">
        <v>2243</v>
      </c>
      <c r="M18" s="8" t="s">
        <v>267</v>
      </c>
    </row>
    <row r="19" spans="1:13" ht="15.75" x14ac:dyDescent="0.25">
      <c r="A19" s="2" t="s">
        <v>57</v>
      </c>
      <c r="B19" s="3">
        <f>B11-E25</f>
        <v>-1665.0850000000014</v>
      </c>
      <c r="C19" s="1"/>
      <c r="D19" s="5"/>
      <c r="E19" s="4"/>
      <c r="F19" s="26"/>
      <c r="H19" s="6">
        <v>44229</v>
      </c>
      <c r="I19" s="7">
        <v>1125</v>
      </c>
      <c r="J19" s="36" t="s">
        <v>46</v>
      </c>
      <c r="K19" s="37"/>
      <c r="L19" s="8" t="s">
        <v>1078</v>
      </c>
      <c r="M19" s="8" t="s">
        <v>268</v>
      </c>
    </row>
    <row r="20" spans="1:13" ht="15.75" x14ac:dyDescent="0.25">
      <c r="A20" s="2" t="s">
        <v>12</v>
      </c>
      <c r="B20" s="3">
        <f>B11+E25</f>
        <v>168.53499999999849</v>
      </c>
      <c r="C20" s="1"/>
      <c r="D20" s="5"/>
      <c r="E20" s="4"/>
      <c r="F20" s="26"/>
      <c r="H20" s="6">
        <v>44232</v>
      </c>
      <c r="I20" s="7">
        <v>300</v>
      </c>
      <c r="J20" s="36" t="s">
        <v>1699</v>
      </c>
      <c r="K20" s="37"/>
      <c r="L20" s="8" t="s">
        <v>1698</v>
      </c>
      <c r="M20" s="8" t="s">
        <v>267</v>
      </c>
    </row>
    <row r="21" spans="1:13" ht="15.75" x14ac:dyDescent="0.25">
      <c r="A21" s="2"/>
      <c r="B21" s="2"/>
      <c r="C21" s="1"/>
      <c r="D21" s="5"/>
      <c r="E21" s="4"/>
      <c r="F21" s="26"/>
      <c r="H21" s="6">
        <v>44235</v>
      </c>
      <c r="I21" s="7">
        <v>1471.57</v>
      </c>
      <c r="J21" s="36" t="s">
        <v>44</v>
      </c>
      <c r="K21" s="37"/>
      <c r="L21" s="8" t="s">
        <v>1700</v>
      </c>
      <c r="M21" s="8" t="s">
        <v>268</v>
      </c>
    </row>
    <row r="22" spans="1:13" ht="15.75" x14ac:dyDescent="0.25">
      <c r="A22" s="2"/>
      <c r="B22" s="2"/>
      <c r="C22" s="1"/>
      <c r="D22" s="22"/>
      <c r="E22" s="4"/>
      <c r="F22" s="26"/>
      <c r="H22" s="6">
        <v>44235</v>
      </c>
      <c r="I22" s="7">
        <v>1000</v>
      </c>
      <c r="J22" s="36"/>
      <c r="K22" s="37"/>
      <c r="L22" s="8" t="s">
        <v>1701</v>
      </c>
      <c r="M22" s="8" t="s">
        <v>267</v>
      </c>
    </row>
    <row r="23" spans="1:13" ht="15.75" x14ac:dyDescent="0.25">
      <c r="A23" s="1"/>
      <c r="B23" s="1"/>
      <c r="C23" s="1"/>
      <c r="D23" s="22"/>
      <c r="E23" s="4"/>
      <c r="F23" s="2"/>
      <c r="G23" s="1"/>
      <c r="H23" s="6">
        <v>44236</v>
      </c>
      <c r="I23" s="7">
        <v>500</v>
      </c>
      <c r="J23" s="36" t="s">
        <v>139</v>
      </c>
      <c r="K23" s="37"/>
      <c r="L23" s="8" t="s">
        <v>1652</v>
      </c>
      <c r="M23" s="8" t="s">
        <v>268</v>
      </c>
    </row>
    <row r="24" spans="1:13" ht="15.75" x14ac:dyDescent="0.25">
      <c r="A24" s="196"/>
      <c r="B24" s="196"/>
      <c r="C24" s="1"/>
      <c r="D24" s="22"/>
      <c r="E24" s="4"/>
      <c r="F24" s="2"/>
      <c r="G24" s="1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D25" s="12" t="s">
        <v>23</v>
      </c>
      <c r="E25" s="24">
        <f>SUM(E3:E24)</f>
        <v>916.81</v>
      </c>
      <c r="F25" s="2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8"/>
      <c r="E27" s="178"/>
      <c r="F27" s="9"/>
      <c r="G27" s="9"/>
      <c r="H27" s="6" t="s">
        <v>23</v>
      </c>
      <c r="I27" s="193">
        <f>SUM(I3:I26)</f>
        <v>19597.830000000002</v>
      </c>
      <c r="J27" s="194"/>
      <c r="K27" s="194"/>
      <c r="L27" s="194"/>
      <c r="M27" s="195"/>
    </row>
    <row r="28" spans="1:13" ht="15.75" x14ac:dyDescent="0.25">
      <c r="A28" s="209"/>
      <c r="B28" s="209"/>
      <c r="C28" s="209"/>
      <c r="D28" s="209"/>
      <c r="E28" s="209"/>
      <c r="F28" s="209"/>
      <c r="G28" s="49"/>
      <c r="H28" s="1"/>
      <c r="I28" s="1"/>
      <c r="J28" s="1"/>
      <c r="K28" s="1"/>
      <c r="L28" s="196"/>
      <c r="M28" s="196"/>
    </row>
    <row r="29" spans="1:13" ht="15.75" x14ac:dyDescent="0.25">
      <c r="A29" s="209"/>
      <c r="B29" s="209"/>
      <c r="C29" s="209"/>
      <c r="D29" s="209"/>
      <c r="E29" s="209"/>
      <c r="F29" s="209"/>
      <c r="G29" s="49"/>
      <c r="H29" s="180"/>
      <c r="I29" s="180"/>
      <c r="J29" s="180" t="s">
        <v>69</v>
      </c>
      <c r="K29" s="180"/>
      <c r="L29" s="180" t="s">
        <v>69</v>
      </c>
      <c r="M29" s="180"/>
    </row>
    <row r="30" spans="1:13" ht="15.75" x14ac:dyDescent="0.25">
      <c r="A30" s="209"/>
      <c r="B30" s="209"/>
      <c r="C30" s="209"/>
      <c r="D30" s="209"/>
      <c r="E30" s="209"/>
      <c r="F30" s="209"/>
      <c r="G30" s="49"/>
      <c r="H30" s="180"/>
      <c r="I30" s="180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D31" s="29"/>
      <c r="E31" s="20"/>
      <c r="F31" s="1"/>
      <c r="G31" s="1"/>
      <c r="L31" s="180"/>
      <c r="M31" s="180"/>
    </row>
    <row r="32" spans="1:13" ht="15.75" x14ac:dyDescent="0.25">
      <c r="A32" s="178"/>
      <c r="B32" s="178"/>
      <c r="C32" s="178"/>
      <c r="D32" s="178"/>
      <c r="E32" s="178"/>
      <c r="F32" s="178"/>
      <c r="G32" s="29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H34" s="184" t="s">
        <v>1639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F36" t="s">
        <v>2090</v>
      </c>
      <c r="H36" s="6">
        <v>44219</v>
      </c>
      <c r="I36" s="7">
        <v>1800</v>
      </c>
      <c r="J36" s="182" t="s">
        <v>173</v>
      </c>
      <c r="K36" s="183"/>
      <c r="L36" s="18"/>
      <c r="M36" s="18"/>
    </row>
    <row r="37" spans="1:13" ht="15.75" x14ac:dyDescent="0.25">
      <c r="F37" s="57">
        <f>SUM(I37:I40,I42,I44,I45,I46,I47,I48,I49,I50,I51,I52,I53:I98,I101:I107,I111)</f>
        <v>15065.02</v>
      </c>
      <c r="H37" s="6">
        <v>44138</v>
      </c>
      <c r="I37" s="4">
        <v>358.33</v>
      </c>
      <c r="J37" s="208" t="s">
        <v>1640</v>
      </c>
      <c r="K37" s="208"/>
      <c r="L37" s="18"/>
      <c r="M37" s="18"/>
    </row>
    <row r="38" spans="1:13" ht="15.75" x14ac:dyDescent="0.25">
      <c r="H38" s="6">
        <v>44160</v>
      </c>
      <c r="I38" s="4">
        <v>411.97</v>
      </c>
      <c r="J38" s="208" t="s">
        <v>1641</v>
      </c>
      <c r="K38" s="208"/>
      <c r="L38" s="180"/>
      <c r="M38" s="180"/>
    </row>
    <row r="39" spans="1:13" ht="15.75" x14ac:dyDescent="0.25">
      <c r="H39" s="6">
        <v>44168</v>
      </c>
      <c r="I39" s="4">
        <v>750</v>
      </c>
      <c r="J39" s="208" t="s">
        <v>1642</v>
      </c>
      <c r="K39" s="208"/>
      <c r="L39" s="180"/>
      <c r="M39" s="180"/>
    </row>
    <row r="40" spans="1:13" ht="15.75" x14ac:dyDescent="0.25">
      <c r="H40" s="6">
        <v>44534</v>
      </c>
      <c r="I40" s="4">
        <v>358.1</v>
      </c>
      <c r="J40" s="202" t="s">
        <v>1646</v>
      </c>
      <c r="K40" s="203"/>
    </row>
    <row r="41" spans="1:13" ht="15.75" x14ac:dyDescent="0.25">
      <c r="H41" s="6">
        <v>44207</v>
      </c>
      <c r="I41" s="4">
        <v>121.89</v>
      </c>
      <c r="J41" s="202" t="s">
        <v>1075</v>
      </c>
      <c r="K41" s="203"/>
    </row>
    <row r="42" spans="1:13" ht="15.75" x14ac:dyDescent="0.25">
      <c r="H42" s="6">
        <v>44207</v>
      </c>
      <c r="I42" s="4">
        <v>450</v>
      </c>
      <c r="J42" s="208" t="s">
        <v>1643</v>
      </c>
      <c r="K42" s="208"/>
    </row>
    <row r="43" spans="1:13" ht="15.75" x14ac:dyDescent="0.25">
      <c r="H43" s="6">
        <v>44218</v>
      </c>
      <c r="I43" s="4">
        <v>87.89</v>
      </c>
      <c r="J43" s="208" t="s">
        <v>1114</v>
      </c>
      <c r="K43" s="208"/>
    </row>
    <row r="44" spans="1:13" ht="15.75" x14ac:dyDescent="0.25">
      <c r="H44" s="6">
        <v>44560</v>
      </c>
      <c r="I44" s="4">
        <v>281.10000000000002</v>
      </c>
      <c r="J44" s="202" t="s">
        <v>1662</v>
      </c>
      <c r="K44" s="203"/>
    </row>
    <row r="45" spans="1:13" ht="15.75" x14ac:dyDescent="0.25">
      <c r="H45" s="6">
        <v>44217</v>
      </c>
      <c r="I45" s="4">
        <v>425</v>
      </c>
      <c r="J45" s="208" t="s">
        <v>1665</v>
      </c>
      <c r="K45" s="208"/>
    </row>
    <row r="46" spans="1:13" ht="15.75" x14ac:dyDescent="0.25">
      <c r="H46" s="6">
        <v>44217</v>
      </c>
      <c r="I46" s="4">
        <v>140</v>
      </c>
      <c r="J46" s="202" t="s">
        <v>1666</v>
      </c>
      <c r="K46" s="203"/>
      <c r="L46" s="204"/>
      <c r="M46" s="205"/>
    </row>
    <row r="47" spans="1:13" ht="15.75" x14ac:dyDescent="0.25">
      <c r="H47" s="6">
        <v>44218</v>
      </c>
      <c r="I47" s="4">
        <v>316.77</v>
      </c>
      <c r="J47" s="202" t="s">
        <v>1662</v>
      </c>
      <c r="K47" s="203"/>
    </row>
    <row r="48" spans="1:13" ht="15.75" x14ac:dyDescent="0.25">
      <c r="H48" s="6">
        <v>44218</v>
      </c>
      <c r="I48" s="35">
        <v>103</v>
      </c>
      <c r="J48" s="208" t="s">
        <v>1671</v>
      </c>
      <c r="K48" s="208"/>
    </row>
    <row r="49" spans="8:11" ht="15.75" x14ac:dyDescent="0.25">
      <c r="H49" s="6">
        <v>44223</v>
      </c>
      <c r="I49" s="4">
        <v>466.52</v>
      </c>
      <c r="J49" s="208" t="s">
        <v>1672</v>
      </c>
      <c r="K49" s="208"/>
    </row>
    <row r="50" spans="8:11" ht="15.75" x14ac:dyDescent="0.25">
      <c r="H50" s="6">
        <v>44223</v>
      </c>
      <c r="I50" s="4">
        <v>302.67</v>
      </c>
      <c r="J50" s="182" t="s">
        <v>1689</v>
      </c>
      <c r="K50" s="183"/>
    </row>
    <row r="51" spans="8:11" ht="15.75" x14ac:dyDescent="0.25">
      <c r="H51" s="6">
        <v>44223</v>
      </c>
      <c r="I51" s="4">
        <v>506.46</v>
      </c>
      <c r="J51" s="182" t="s">
        <v>1690</v>
      </c>
      <c r="K51" s="183"/>
    </row>
    <row r="52" spans="8:11" ht="15.75" x14ac:dyDescent="0.25">
      <c r="H52" s="6">
        <v>44223</v>
      </c>
      <c r="I52" s="4">
        <v>77.25</v>
      </c>
      <c r="J52" s="182" t="s">
        <v>1673</v>
      </c>
      <c r="K52" s="183"/>
    </row>
    <row r="53" spans="8:11" ht="15.75" x14ac:dyDescent="0.25">
      <c r="H53" s="55">
        <v>44160</v>
      </c>
      <c r="I53" s="56">
        <v>18</v>
      </c>
      <c r="J53" s="216" t="s">
        <v>1675</v>
      </c>
      <c r="K53" s="217"/>
    </row>
    <row r="54" spans="8:11" ht="15.75" x14ac:dyDescent="0.25">
      <c r="H54" s="55">
        <v>44157</v>
      </c>
      <c r="I54" s="56">
        <v>50</v>
      </c>
      <c r="J54" s="216" t="s">
        <v>1676</v>
      </c>
      <c r="K54" s="217"/>
    </row>
    <row r="55" spans="8:11" ht="15.75" x14ac:dyDescent="0.25">
      <c r="H55" s="55">
        <v>44144</v>
      </c>
      <c r="I55" s="56">
        <v>1300</v>
      </c>
      <c r="J55" s="216" t="s">
        <v>1677</v>
      </c>
      <c r="K55" s="217"/>
    </row>
    <row r="56" spans="8:11" ht="15.75" x14ac:dyDescent="0.25">
      <c r="H56" s="55">
        <v>44145</v>
      </c>
      <c r="I56" s="56">
        <v>298</v>
      </c>
      <c r="J56" s="216" t="s">
        <v>1678</v>
      </c>
      <c r="K56" s="217"/>
    </row>
    <row r="57" spans="8:11" ht="15.75" x14ac:dyDescent="0.25">
      <c r="H57" s="55">
        <v>44160</v>
      </c>
      <c r="I57" s="56">
        <v>900</v>
      </c>
      <c r="J57" s="216" t="s">
        <v>1679</v>
      </c>
      <c r="K57" s="217"/>
    </row>
    <row r="58" spans="8:11" ht="15.75" x14ac:dyDescent="0.25">
      <c r="H58" s="55">
        <v>44168</v>
      </c>
      <c r="I58" s="56">
        <v>34</v>
      </c>
      <c r="J58" s="216" t="s">
        <v>1680</v>
      </c>
      <c r="K58" s="217"/>
    </row>
    <row r="59" spans="8:11" ht="15.75" x14ac:dyDescent="0.25">
      <c r="H59" s="55">
        <v>44169</v>
      </c>
      <c r="I59" s="56">
        <v>34</v>
      </c>
      <c r="J59" s="218" t="s">
        <v>1680</v>
      </c>
      <c r="K59" s="218"/>
    </row>
    <row r="60" spans="8:11" ht="15.75" x14ac:dyDescent="0.25">
      <c r="H60" s="55">
        <v>44172</v>
      </c>
      <c r="I60" s="56">
        <v>99.16</v>
      </c>
      <c r="J60" s="218" t="s">
        <v>1681</v>
      </c>
      <c r="K60" s="218"/>
    </row>
    <row r="61" spans="8:11" ht="15.75" x14ac:dyDescent="0.25">
      <c r="H61" s="55">
        <v>44173</v>
      </c>
      <c r="I61" s="56">
        <v>49</v>
      </c>
      <c r="J61" s="219" t="s">
        <v>1682</v>
      </c>
      <c r="K61" s="220"/>
    </row>
    <row r="62" spans="8:11" ht="15.75" x14ac:dyDescent="0.25">
      <c r="H62" s="55">
        <v>44174</v>
      </c>
      <c r="I62" s="56">
        <v>250</v>
      </c>
      <c r="J62" s="219" t="s">
        <v>1683</v>
      </c>
      <c r="K62" s="220"/>
    </row>
    <row r="63" spans="8:11" ht="15.75" x14ac:dyDescent="0.25">
      <c r="H63" s="55">
        <v>44176</v>
      </c>
      <c r="I63" s="56">
        <v>39</v>
      </c>
      <c r="J63" s="219" t="s">
        <v>1682</v>
      </c>
      <c r="K63" s="220"/>
    </row>
    <row r="64" spans="8:11" ht="15.75" x14ac:dyDescent="0.25">
      <c r="H64" s="55">
        <v>44179</v>
      </c>
      <c r="I64" s="56">
        <v>28</v>
      </c>
      <c r="J64" s="219" t="s">
        <v>1682</v>
      </c>
      <c r="K64" s="220"/>
    </row>
    <row r="65" spans="8:11" ht="15.75" x14ac:dyDescent="0.25">
      <c r="H65" s="55">
        <v>44180</v>
      </c>
      <c r="I65" s="56">
        <v>30</v>
      </c>
      <c r="J65" s="216" t="s">
        <v>1682</v>
      </c>
      <c r="K65" s="217"/>
    </row>
    <row r="66" spans="8:11" ht="15.75" x14ac:dyDescent="0.25">
      <c r="H66" s="55">
        <v>44181</v>
      </c>
      <c r="I66" s="56">
        <v>13</v>
      </c>
      <c r="J66" s="216" t="s">
        <v>1682</v>
      </c>
      <c r="K66" s="217"/>
    </row>
    <row r="67" spans="8:11" ht="15.75" x14ac:dyDescent="0.25">
      <c r="H67" s="55">
        <v>44182</v>
      </c>
      <c r="I67" s="56">
        <v>26</v>
      </c>
      <c r="J67" s="216" t="s">
        <v>1682</v>
      </c>
      <c r="K67" s="217"/>
    </row>
    <row r="68" spans="8:11" ht="15.75" x14ac:dyDescent="0.25">
      <c r="H68" s="55">
        <v>44182</v>
      </c>
      <c r="I68" s="56">
        <v>260</v>
      </c>
      <c r="J68" s="216" t="s">
        <v>1683</v>
      </c>
      <c r="K68" s="217"/>
    </row>
    <row r="69" spans="8:11" ht="15.75" x14ac:dyDescent="0.25">
      <c r="H69" s="55">
        <v>44183</v>
      </c>
      <c r="I69" s="56">
        <v>61</v>
      </c>
      <c r="J69" s="216" t="s">
        <v>1682</v>
      </c>
      <c r="K69" s="217"/>
    </row>
    <row r="70" spans="8:11" ht="15.75" x14ac:dyDescent="0.25">
      <c r="H70" s="55">
        <v>44186</v>
      </c>
      <c r="I70" s="56">
        <v>124.4</v>
      </c>
      <c r="J70" s="216" t="s">
        <v>1681</v>
      </c>
      <c r="K70" s="217"/>
    </row>
    <row r="71" spans="8:11" ht="15.75" x14ac:dyDescent="0.25">
      <c r="H71" s="55">
        <v>44187</v>
      </c>
      <c r="I71" s="56">
        <v>298</v>
      </c>
      <c r="J71" s="216" t="s">
        <v>1684</v>
      </c>
      <c r="K71" s="217"/>
    </row>
    <row r="72" spans="8:11" ht="15.75" x14ac:dyDescent="0.25">
      <c r="H72" s="55">
        <v>44188</v>
      </c>
      <c r="I72" s="56">
        <v>90</v>
      </c>
      <c r="J72" s="216" t="s">
        <v>1682</v>
      </c>
      <c r="K72" s="217"/>
    </row>
    <row r="73" spans="8:11" ht="15.75" x14ac:dyDescent="0.25">
      <c r="H73" s="55">
        <v>44193</v>
      </c>
      <c r="I73" s="56">
        <v>45</v>
      </c>
      <c r="J73" s="216" t="s">
        <v>1682</v>
      </c>
      <c r="K73" s="217"/>
    </row>
    <row r="74" spans="8:11" ht="15.75" x14ac:dyDescent="0.25">
      <c r="H74" s="55">
        <v>44194</v>
      </c>
      <c r="I74" s="56">
        <v>43</v>
      </c>
      <c r="J74" s="216" t="s">
        <v>1682</v>
      </c>
      <c r="K74" s="217"/>
    </row>
    <row r="75" spans="8:11" ht="15.75" x14ac:dyDescent="0.25">
      <c r="H75" s="55">
        <v>44195</v>
      </c>
      <c r="I75" s="56">
        <v>47</v>
      </c>
      <c r="J75" s="216" t="s">
        <v>1682</v>
      </c>
      <c r="K75" s="217"/>
    </row>
    <row r="76" spans="8:11" ht="15.75" x14ac:dyDescent="0.25">
      <c r="H76" s="55">
        <v>44196</v>
      </c>
      <c r="I76" s="56">
        <v>436</v>
      </c>
      <c r="J76" s="216" t="s">
        <v>1685</v>
      </c>
      <c r="K76" s="217"/>
    </row>
    <row r="77" spans="8:11" ht="15.75" x14ac:dyDescent="0.25">
      <c r="H77" s="55">
        <v>44200</v>
      </c>
      <c r="I77" s="56">
        <v>34</v>
      </c>
      <c r="J77" s="216" t="s">
        <v>1682</v>
      </c>
      <c r="K77" s="217"/>
    </row>
    <row r="78" spans="8:11" ht="15.75" x14ac:dyDescent="0.25">
      <c r="H78" s="55">
        <v>44201</v>
      </c>
      <c r="I78" s="56">
        <v>34</v>
      </c>
      <c r="J78" s="216" t="s">
        <v>1682</v>
      </c>
      <c r="K78" s="217"/>
    </row>
    <row r="79" spans="8:11" ht="15.75" x14ac:dyDescent="0.25">
      <c r="H79" s="55">
        <v>44201</v>
      </c>
      <c r="I79" s="56">
        <v>125.49</v>
      </c>
      <c r="J79" s="216" t="s">
        <v>1681</v>
      </c>
      <c r="K79" s="217"/>
    </row>
    <row r="80" spans="8:11" ht="15.75" x14ac:dyDescent="0.25">
      <c r="H80" s="55">
        <v>44202</v>
      </c>
      <c r="I80" s="56">
        <v>43</v>
      </c>
      <c r="J80" s="216" t="s">
        <v>1682</v>
      </c>
      <c r="K80" s="217"/>
    </row>
    <row r="81" spans="8:12" ht="15.75" x14ac:dyDescent="0.25">
      <c r="H81" s="55">
        <v>44203</v>
      </c>
      <c r="I81" s="56">
        <v>34</v>
      </c>
      <c r="J81" s="216" t="s">
        <v>1682</v>
      </c>
      <c r="K81" s="217"/>
    </row>
    <row r="82" spans="8:12" ht="15.75" x14ac:dyDescent="0.25">
      <c r="H82" s="55">
        <v>44204</v>
      </c>
      <c r="I82" s="56">
        <v>54</v>
      </c>
      <c r="J82" s="216" t="s">
        <v>1682</v>
      </c>
      <c r="K82" s="217"/>
    </row>
    <row r="83" spans="8:12" ht="15.75" x14ac:dyDescent="0.25">
      <c r="H83" s="55">
        <v>44208</v>
      </c>
      <c r="I83" s="56">
        <v>43</v>
      </c>
      <c r="J83" s="216" t="s">
        <v>1682</v>
      </c>
      <c r="K83" s="217"/>
      <c r="L83" s="57">
        <f>SUM(I53:I95)</f>
        <v>7666.1499999999987</v>
      </c>
    </row>
    <row r="84" spans="8:12" ht="15.75" x14ac:dyDescent="0.25">
      <c r="H84" s="55">
        <v>44209</v>
      </c>
      <c r="I84" s="56">
        <v>59</v>
      </c>
      <c r="J84" s="216" t="s">
        <v>1682</v>
      </c>
      <c r="K84" s="217"/>
    </row>
    <row r="85" spans="8:12" ht="15.75" x14ac:dyDescent="0.25">
      <c r="H85" s="55">
        <v>44210</v>
      </c>
      <c r="I85" s="56">
        <v>44</v>
      </c>
      <c r="J85" s="216" t="s">
        <v>1682</v>
      </c>
      <c r="K85" s="217"/>
    </row>
    <row r="86" spans="8:12" ht="15.75" x14ac:dyDescent="0.25">
      <c r="H86" s="55">
        <v>44211</v>
      </c>
      <c r="I86" s="56">
        <v>53</v>
      </c>
      <c r="J86" s="216" t="s">
        <v>1682</v>
      </c>
      <c r="K86" s="217"/>
    </row>
    <row r="87" spans="8:12" ht="15.75" x14ac:dyDescent="0.25">
      <c r="H87" s="55">
        <v>44214</v>
      </c>
      <c r="I87" s="56">
        <v>44</v>
      </c>
      <c r="J87" s="216" t="s">
        <v>1682</v>
      </c>
      <c r="K87" s="217"/>
    </row>
    <row r="88" spans="8:12" ht="15.75" x14ac:dyDescent="0.25">
      <c r="H88" s="55">
        <v>44215</v>
      </c>
      <c r="I88" s="56">
        <v>26</v>
      </c>
      <c r="J88" s="216" t="s">
        <v>1682</v>
      </c>
      <c r="K88" s="217"/>
    </row>
    <row r="89" spans="8:12" ht="15.75" x14ac:dyDescent="0.25">
      <c r="H89" s="55">
        <v>44218</v>
      </c>
      <c r="I89" s="56">
        <v>50</v>
      </c>
      <c r="J89" s="216" t="s">
        <v>1681</v>
      </c>
      <c r="K89" s="217"/>
    </row>
    <row r="90" spans="8:12" ht="15.75" x14ac:dyDescent="0.25">
      <c r="H90" s="55">
        <v>44133</v>
      </c>
      <c r="I90" s="56">
        <v>666.7</v>
      </c>
      <c r="J90" s="216" t="s">
        <v>1686</v>
      </c>
      <c r="K90" s="217"/>
    </row>
    <row r="91" spans="8:12" ht="15.75" x14ac:dyDescent="0.25">
      <c r="H91" s="55">
        <v>44133</v>
      </c>
      <c r="I91" s="56">
        <v>150</v>
      </c>
      <c r="J91" s="216" t="s">
        <v>1686</v>
      </c>
      <c r="K91" s="217"/>
    </row>
    <row r="92" spans="8:12" ht="15.75" x14ac:dyDescent="0.25">
      <c r="H92" s="55">
        <v>44133</v>
      </c>
      <c r="I92" s="56">
        <v>150</v>
      </c>
      <c r="J92" s="216" t="s">
        <v>1687</v>
      </c>
      <c r="K92" s="217"/>
    </row>
    <row r="93" spans="8:12" ht="15.75" x14ac:dyDescent="0.25">
      <c r="H93" s="55">
        <v>44133</v>
      </c>
      <c r="I93" s="56">
        <v>666.7</v>
      </c>
      <c r="J93" s="216" t="s">
        <v>1687</v>
      </c>
      <c r="K93" s="217"/>
    </row>
    <row r="94" spans="8:12" ht="15.75" x14ac:dyDescent="0.25">
      <c r="H94" s="55">
        <v>44133</v>
      </c>
      <c r="I94" s="56">
        <v>150</v>
      </c>
      <c r="J94" s="216" t="s">
        <v>1688</v>
      </c>
      <c r="K94" s="217"/>
    </row>
    <row r="95" spans="8:12" ht="15.75" x14ac:dyDescent="0.25">
      <c r="H95" s="55">
        <v>44133</v>
      </c>
      <c r="I95" s="56">
        <v>666.7</v>
      </c>
      <c r="J95" s="216" t="s">
        <v>1688</v>
      </c>
      <c r="K95" s="217"/>
    </row>
    <row r="96" spans="8:12" ht="15.75" x14ac:dyDescent="0.25">
      <c r="H96" s="6">
        <v>44221</v>
      </c>
      <c r="I96" s="4">
        <v>560</v>
      </c>
      <c r="J96" s="182" t="s">
        <v>1696</v>
      </c>
      <c r="K96" s="183"/>
    </row>
    <row r="97" spans="8:11" ht="15.75" x14ac:dyDescent="0.25">
      <c r="H97" s="6">
        <v>44232</v>
      </c>
      <c r="I97" s="4">
        <v>500</v>
      </c>
      <c r="J97" s="182" t="s">
        <v>1696</v>
      </c>
      <c r="K97" s="183"/>
    </row>
    <row r="98" spans="8:11" ht="15.75" x14ac:dyDescent="0.25">
      <c r="H98" s="6">
        <v>44232</v>
      </c>
      <c r="I98" s="4">
        <v>180</v>
      </c>
      <c r="J98" s="182" t="s">
        <v>1697</v>
      </c>
      <c r="K98" s="183"/>
    </row>
    <row r="99" spans="8:11" ht="15.75" x14ac:dyDescent="0.25">
      <c r="H99" s="6">
        <v>44235</v>
      </c>
      <c r="I99" s="4">
        <v>121.89</v>
      </c>
      <c r="J99" s="182" t="s">
        <v>1075</v>
      </c>
      <c r="K99" s="183"/>
    </row>
    <row r="100" spans="8:11" ht="15.75" x14ac:dyDescent="0.25">
      <c r="H100" s="6">
        <v>44236</v>
      </c>
      <c r="I100" s="4">
        <v>112.89</v>
      </c>
      <c r="J100" s="182" t="s">
        <v>1702</v>
      </c>
      <c r="K100" s="183"/>
    </row>
    <row r="101" spans="8:11" ht="15.75" x14ac:dyDescent="0.25">
      <c r="H101" s="6">
        <v>44236</v>
      </c>
      <c r="I101" s="4">
        <v>378</v>
      </c>
      <c r="J101" s="182" t="s">
        <v>1703</v>
      </c>
      <c r="K101" s="183"/>
    </row>
    <row r="102" spans="8:11" ht="15.75" x14ac:dyDescent="0.25">
      <c r="H102" s="55">
        <v>44236</v>
      </c>
      <c r="I102" s="56">
        <v>18.899999999999999</v>
      </c>
      <c r="J102" s="216" t="s">
        <v>1704</v>
      </c>
      <c r="K102" s="217"/>
    </row>
    <row r="103" spans="8:11" ht="15.75" x14ac:dyDescent="0.25">
      <c r="H103" s="55">
        <v>44236</v>
      </c>
      <c r="I103" s="56">
        <v>255</v>
      </c>
      <c r="J103" s="216" t="s">
        <v>1705</v>
      </c>
      <c r="K103" s="217"/>
    </row>
    <row r="104" spans="8:11" ht="15.75" x14ac:dyDescent="0.25">
      <c r="H104" s="55">
        <v>44230</v>
      </c>
      <c r="I104" s="56">
        <v>110</v>
      </c>
      <c r="J104" s="216" t="s">
        <v>1706</v>
      </c>
      <c r="K104" s="217"/>
    </row>
    <row r="105" spans="8:11" ht="15.75" x14ac:dyDescent="0.25">
      <c r="H105" s="55">
        <v>44230</v>
      </c>
      <c r="I105" s="56">
        <v>115</v>
      </c>
      <c r="J105" s="216" t="s">
        <v>1707</v>
      </c>
      <c r="K105" s="217"/>
    </row>
    <row r="106" spans="8:11" ht="15.75" x14ac:dyDescent="0.25">
      <c r="H106" s="55">
        <v>44230</v>
      </c>
      <c r="I106" s="56">
        <v>50.8</v>
      </c>
      <c r="J106" s="216" t="s">
        <v>1707</v>
      </c>
      <c r="K106" s="217"/>
    </row>
    <row r="107" spans="8:11" ht="15.75" x14ac:dyDescent="0.25">
      <c r="H107" s="55">
        <v>44228</v>
      </c>
      <c r="I107" s="56">
        <v>24</v>
      </c>
      <c r="J107" s="216" t="s">
        <v>1708</v>
      </c>
      <c r="K107" s="217"/>
    </row>
    <row r="108" spans="8:11" ht="15.75" x14ac:dyDescent="0.25">
      <c r="H108" s="6">
        <v>44208</v>
      </c>
      <c r="I108" s="4">
        <v>44.9</v>
      </c>
      <c r="J108" s="182" t="s">
        <v>1709</v>
      </c>
      <c r="K108" s="183"/>
    </row>
    <row r="109" spans="8:11" ht="15.75" x14ac:dyDescent="0.25">
      <c r="H109" s="6">
        <v>44211</v>
      </c>
      <c r="I109" s="4">
        <v>81.900000000000006</v>
      </c>
      <c r="J109" s="182" t="s">
        <v>1711</v>
      </c>
      <c r="K109" s="183"/>
    </row>
    <row r="110" spans="8:11" ht="15.75" x14ac:dyDescent="0.25">
      <c r="H110" s="6">
        <v>44217</v>
      </c>
      <c r="I110" s="4">
        <v>380</v>
      </c>
      <c r="J110" s="182" t="s">
        <v>1712</v>
      </c>
      <c r="K110" s="183"/>
    </row>
    <row r="111" spans="8:11" ht="15.75" x14ac:dyDescent="0.25">
      <c r="H111" s="6">
        <v>44225</v>
      </c>
      <c r="I111" s="4">
        <v>260</v>
      </c>
      <c r="J111" s="182" t="s">
        <v>1713</v>
      </c>
      <c r="K111" s="183"/>
    </row>
    <row r="112" spans="8:11" ht="15.75" x14ac:dyDescent="0.25">
      <c r="H112" s="6">
        <v>44236</v>
      </c>
      <c r="I112" s="4">
        <v>378</v>
      </c>
      <c r="J112" s="182" t="s">
        <v>1714</v>
      </c>
      <c r="K112" s="183"/>
    </row>
    <row r="113" spans="8:11" ht="15.75" x14ac:dyDescent="0.25">
      <c r="H113" s="6">
        <v>44211</v>
      </c>
      <c r="I113" s="4">
        <v>500</v>
      </c>
      <c r="J113" s="208" t="s">
        <v>1715</v>
      </c>
      <c r="K113" s="208"/>
    </row>
    <row r="114" spans="8:11" ht="15.75" x14ac:dyDescent="0.25">
      <c r="H114" s="6">
        <v>44211</v>
      </c>
      <c r="I114" s="4">
        <v>300</v>
      </c>
      <c r="J114" s="202" t="s">
        <v>1716</v>
      </c>
      <c r="K114" s="203"/>
    </row>
    <row r="115" spans="8:11" ht="15.75" x14ac:dyDescent="0.25">
      <c r="H115" s="6">
        <v>44211</v>
      </c>
      <c r="I115" s="4">
        <v>420</v>
      </c>
      <c r="J115" s="202" t="s">
        <v>1717</v>
      </c>
      <c r="K115" s="203"/>
    </row>
    <row r="116" spans="8:11" ht="15.75" x14ac:dyDescent="0.25">
      <c r="H116" s="6"/>
      <c r="I116" s="4">
        <v>500</v>
      </c>
      <c r="J116" s="202" t="s">
        <v>1715</v>
      </c>
      <c r="K116" s="203"/>
    </row>
    <row r="117" spans="8:11" ht="15.75" x14ac:dyDescent="0.25">
      <c r="H117" s="6"/>
      <c r="I117" s="4">
        <v>180</v>
      </c>
      <c r="J117" s="202" t="s">
        <v>1718</v>
      </c>
      <c r="K117" s="203"/>
    </row>
    <row r="118" spans="8:11" ht="15.75" x14ac:dyDescent="0.25">
      <c r="H118" s="6">
        <v>44239</v>
      </c>
      <c r="I118" s="4">
        <v>1000</v>
      </c>
      <c r="J118" s="202" t="s">
        <v>1719</v>
      </c>
      <c r="K118" s="203"/>
    </row>
    <row r="119" spans="8:11" ht="15.75" x14ac:dyDescent="0.25">
      <c r="H119" s="6"/>
      <c r="I119" s="4"/>
      <c r="J119" s="202"/>
      <c r="K119" s="203"/>
    </row>
    <row r="120" spans="8:11" ht="15.75" x14ac:dyDescent="0.25">
      <c r="H120" s="6"/>
      <c r="I120" s="4"/>
      <c r="J120" s="202"/>
      <c r="K120" s="203"/>
    </row>
  </sheetData>
  <mergeCells count="125">
    <mergeCell ref="J79:K79"/>
    <mergeCell ref="J80:K80"/>
    <mergeCell ref="J81:K81"/>
    <mergeCell ref="J92:K92"/>
    <mergeCell ref="J93:K93"/>
    <mergeCell ref="J94:K94"/>
    <mergeCell ref="J100:K100"/>
    <mergeCell ref="J101:K101"/>
    <mergeCell ref="J102:K102"/>
    <mergeCell ref="J103:K103"/>
    <mergeCell ref="J104:K104"/>
    <mergeCell ref="J105:K105"/>
    <mergeCell ref="J97:K97"/>
    <mergeCell ref="J98:K98"/>
    <mergeCell ref="J99:K99"/>
    <mergeCell ref="A1:B1"/>
    <mergeCell ref="D1:E1"/>
    <mergeCell ref="H1:M1"/>
    <mergeCell ref="A2:B2"/>
    <mergeCell ref="D2:E2"/>
    <mergeCell ref="J2:K2"/>
    <mergeCell ref="J3:K3"/>
    <mergeCell ref="J4:K4"/>
    <mergeCell ref="J5:K5"/>
    <mergeCell ref="J6:K6"/>
    <mergeCell ref="J7:K7"/>
    <mergeCell ref="J26:K26"/>
    <mergeCell ref="A17:B17"/>
    <mergeCell ref="A24:B24"/>
    <mergeCell ref="J24:K24"/>
    <mergeCell ref="J25:K25"/>
    <mergeCell ref="D27:E27"/>
    <mergeCell ref="I27:M27"/>
    <mergeCell ref="A28:F30"/>
    <mergeCell ref="L28:M28"/>
    <mergeCell ref="H29:I29"/>
    <mergeCell ref="J29:K29"/>
    <mergeCell ref="L29:M29"/>
    <mergeCell ref="H30:I30"/>
    <mergeCell ref="J30:K30"/>
    <mergeCell ref="L30:M30"/>
    <mergeCell ref="J37:K37"/>
    <mergeCell ref="L31:M31"/>
    <mergeCell ref="A32:B32"/>
    <mergeCell ref="C32:D32"/>
    <mergeCell ref="E32:F32"/>
    <mergeCell ref="A33:B33"/>
    <mergeCell ref="C33:D33"/>
    <mergeCell ref="E33:F33"/>
    <mergeCell ref="H34:K34"/>
    <mergeCell ref="L34:M34"/>
    <mergeCell ref="J35:K35"/>
    <mergeCell ref="L35:M35"/>
    <mergeCell ref="J36:K36"/>
    <mergeCell ref="L46:M46"/>
    <mergeCell ref="J38:K38"/>
    <mergeCell ref="L38:M38"/>
    <mergeCell ref="J39:K39"/>
    <mergeCell ref="L39:M39"/>
    <mergeCell ref="J40:K40"/>
    <mergeCell ref="J41:K41"/>
    <mergeCell ref="J54:K54"/>
    <mergeCell ref="J42:K42"/>
    <mergeCell ref="J43:K43"/>
    <mergeCell ref="J44:K44"/>
    <mergeCell ref="J45:K45"/>
    <mergeCell ref="J46:K46"/>
    <mergeCell ref="J47:K47"/>
    <mergeCell ref="J48:K48"/>
    <mergeCell ref="J49:K49"/>
    <mergeCell ref="J52:K52"/>
    <mergeCell ref="J53:K53"/>
    <mergeCell ref="J51:K51"/>
    <mergeCell ref="J50:K50"/>
    <mergeCell ref="J66:K66"/>
    <mergeCell ref="J55:K55"/>
    <mergeCell ref="J56:K56"/>
    <mergeCell ref="J57:K57"/>
    <mergeCell ref="J58:K58"/>
    <mergeCell ref="J59:K59"/>
    <mergeCell ref="J60:K60"/>
    <mergeCell ref="J61:K61"/>
    <mergeCell ref="J62:K62"/>
    <mergeCell ref="J63:K63"/>
    <mergeCell ref="J64:K64"/>
    <mergeCell ref="J65:K65"/>
    <mergeCell ref="J67:K67"/>
    <mergeCell ref="J68:K68"/>
    <mergeCell ref="J69:K69"/>
    <mergeCell ref="J70:K70"/>
    <mergeCell ref="J71:K71"/>
    <mergeCell ref="J95:K95"/>
    <mergeCell ref="J96:K96"/>
    <mergeCell ref="J87:K87"/>
    <mergeCell ref="J88:K88"/>
    <mergeCell ref="J89:K89"/>
    <mergeCell ref="J90:K90"/>
    <mergeCell ref="J91:K91"/>
    <mergeCell ref="J74:K74"/>
    <mergeCell ref="J75:K75"/>
    <mergeCell ref="J76:K76"/>
    <mergeCell ref="J72:K72"/>
    <mergeCell ref="J73:K73"/>
    <mergeCell ref="J82:K82"/>
    <mergeCell ref="J83:K83"/>
    <mergeCell ref="J84:K84"/>
    <mergeCell ref="J85:K85"/>
    <mergeCell ref="J86:K86"/>
    <mergeCell ref="J77:K77"/>
    <mergeCell ref="J78:K78"/>
    <mergeCell ref="J114:K114"/>
    <mergeCell ref="J115:K115"/>
    <mergeCell ref="J116:K116"/>
    <mergeCell ref="J117:K117"/>
    <mergeCell ref="J118:K118"/>
    <mergeCell ref="J119:K119"/>
    <mergeCell ref="J120:K120"/>
    <mergeCell ref="J106:K106"/>
    <mergeCell ref="J107:K107"/>
    <mergeCell ref="J108:K108"/>
    <mergeCell ref="J109:K109"/>
    <mergeCell ref="J110:K110"/>
    <mergeCell ref="J111:K111"/>
    <mergeCell ref="J112:K112"/>
    <mergeCell ref="J113:K1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Planilha60">
    <pageSetUpPr fitToPage="1"/>
  </sheetPr>
  <dimension ref="A1:M78"/>
  <sheetViews>
    <sheetView topLeftCell="A3" zoomScale="70" zoomScaleNormal="70" workbookViewId="0">
      <selection activeCell="L19" sqref="L19"/>
    </sheetView>
  </sheetViews>
  <sheetFormatPr defaultRowHeight="15" x14ac:dyDescent="0.25"/>
  <cols>
    <col min="1" max="1" width="20.7109375" customWidth="1"/>
    <col min="2" max="2" width="29" customWidth="1"/>
    <col min="3" max="3" width="11.28515625" customWidth="1"/>
    <col min="4" max="4" width="18.85546875" customWidth="1"/>
    <col min="5" max="5" width="15" customWidth="1"/>
    <col min="6" max="6" width="18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1300</v>
      </c>
      <c r="B1" s="184"/>
      <c r="C1" s="10"/>
      <c r="D1" s="229" t="s">
        <v>55</v>
      </c>
      <c r="E1" s="230"/>
      <c r="F1" s="231"/>
      <c r="H1" s="184" t="s">
        <v>1735</v>
      </c>
      <c r="I1" s="184"/>
      <c r="J1" s="184"/>
      <c r="K1" s="184"/>
      <c r="L1" s="184"/>
      <c r="M1" s="184"/>
    </row>
    <row r="2" spans="1:13" ht="19.5" thickBot="1" x14ac:dyDescent="0.35">
      <c r="A2" s="184" t="s">
        <v>396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18514.57</v>
      </c>
      <c r="C3" s="11"/>
      <c r="D3" s="91" t="s">
        <v>1</v>
      </c>
      <c r="E3" s="91" t="s">
        <v>6</v>
      </c>
      <c r="F3" s="92" t="s">
        <v>13</v>
      </c>
      <c r="H3" s="6">
        <v>44239</v>
      </c>
      <c r="I3" s="58">
        <v>500</v>
      </c>
      <c r="J3" s="187" t="s">
        <v>1737</v>
      </c>
      <c r="K3" s="188"/>
      <c r="L3" s="8" t="s">
        <v>1739</v>
      </c>
      <c r="M3" s="8" t="s">
        <v>267</v>
      </c>
    </row>
    <row r="4" spans="1:13" ht="15.75" x14ac:dyDescent="0.25">
      <c r="A4" s="2"/>
      <c r="B4" s="3"/>
      <c r="C4" s="11"/>
      <c r="D4" s="83"/>
      <c r="E4" s="90"/>
      <c r="F4" s="85"/>
      <c r="G4" s="113"/>
      <c r="H4" s="6">
        <v>44239</v>
      </c>
      <c r="I4" s="97">
        <v>1000</v>
      </c>
      <c r="J4" s="187" t="s">
        <v>1743</v>
      </c>
      <c r="K4" s="188"/>
      <c r="L4" s="8" t="s">
        <v>1738</v>
      </c>
      <c r="M4" s="8" t="s">
        <v>267</v>
      </c>
    </row>
    <row r="5" spans="1:13" ht="15.75" x14ac:dyDescent="0.25">
      <c r="A5" s="2" t="s">
        <v>4</v>
      </c>
      <c r="B5" s="3">
        <f>SUM(I36:I68)</f>
        <v>14145.5</v>
      </c>
      <c r="C5" s="11"/>
      <c r="D5" s="76">
        <v>44028</v>
      </c>
      <c r="E5" s="107">
        <v>234.87</v>
      </c>
      <c r="F5" s="86" t="s">
        <v>1721</v>
      </c>
      <c r="H5" s="6">
        <v>44239</v>
      </c>
      <c r="I5" s="97">
        <v>200</v>
      </c>
      <c r="J5" s="187" t="s">
        <v>1742</v>
      </c>
      <c r="K5" s="188"/>
      <c r="L5" s="8" t="s">
        <v>1740</v>
      </c>
      <c r="M5" s="8" t="s">
        <v>267</v>
      </c>
    </row>
    <row r="6" spans="1:13" ht="15.75" x14ac:dyDescent="0.25">
      <c r="A6" s="2"/>
      <c r="B6" s="3"/>
      <c r="C6" s="11"/>
      <c r="D6" s="73"/>
      <c r="E6" s="4"/>
      <c r="F6" s="74"/>
      <c r="H6" s="6"/>
      <c r="I6" s="120"/>
      <c r="J6" s="187"/>
      <c r="K6" s="188"/>
      <c r="L6" s="8"/>
      <c r="M6" s="8"/>
    </row>
    <row r="7" spans="1:13" ht="15.75" x14ac:dyDescent="0.25">
      <c r="A7" s="12" t="s">
        <v>5</v>
      </c>
      <c r="B7" s="25">
        <f>B3+B4-B5</f>
        <v>4369.07</v>
      </c>
      <c r="C7" s="11"/>
      <c r="D7" s="73">
        <v>44203</v>
      </c>
      <c r="E7" s="107">
        <v>92.66</v>
      </c>
      <c r="F7" s="74" t="s">
        <v>1722</v>
      </c>
      <c r="H7" s="6">
        <v>44245</v>
      </c>
      <c r="I7" s="97">
        <v>1000</v>
      </c>
      <c r="J7" s="187" t="s">
        <v>290</v>
      </c>
      <c r="K7" s="188"/>
      <c r="L7" s="8" t="s">
        <v>1649</v>
      </c>
      <c r="M7" s="8" t="s">
        <v>268</v>
      </c>
    </row>
    <row r="8" spans="1:13" ht="15.75" x14ac:dyDescent="0.25">
      <c r="A8" s="2"/>
      <c r="B8" s="3"/>
      <c r="C8" s="11"/>
      <c r="D8" s="76">
        <v>44204</v>
      </c>
      <c r="E8" s="107">
        <v>550.88</v>
      </c>
      <c r="F8" s="86" t="s">
        <v>1723</v>
      </c>
      <c r="H8" s="6">
        <v>44245</v>
      </c>
      <c r="I8" s="97">
        <v>1000</v>
      </c>
      <c r="J8" s="36" t="s">
        <v>1743</v>
      </c>
      <c r="K8" s="37"/>
      <c r="L8" s="8" t="s">
        <v>1738</v>
      </c>
      <c r="M8" s="8" t="s">
        <v>267</v>
      </c>
    </row>
    <row r="9" spans="1:13" ht="15.75" x14ac:dyDescent="0.25">
      <c r="A9" s="2"/>
      <c r="B9" s="3"/>
      <c r="C9" s="11"/>
      <c r="D9" s="73">
        <v>44204</v>
      </c>
      <c r="E9" s="107">
        <v>176.2</v>
      </c>
      <c r="F9" s="74" t="s">
        <v>1366</v>
      </c>
      <c r="G9" s="42"/>
      <c r="H9" s="6">
        <v>44239</v>
      </c>
      <c r="I9" s="97">
        <v>2083</v>
      </c>
      <c r="J9" s="36" t="s">
        <v>1750</v>
      </c>
      <c r="K9" s="37"/>
      <c r="L9" s="8" t="s">
        <v>2214</v>
      </c>
      <c r="M9" s="8" t="s">
        <v>268</v>
      </c>
    </row>
    <row r="10" spans="1:13" ht="15.75" x14ac:dyDescent="0.25">
      <c r="A10" s="2"/>
      <c r="B10" s="3"/>
      <c r="C10" s="11"/>
      <c r="D10" s="73">
        <v>44246</v>
      </c>
      <c r="E10" s="107">
        <v>100</v>
      </c>
      <c r="F10" s="74" t="s">
        <v>1752</v>
      </c>
      <c r="H10" s="6"/>
      <c r="I10" s="120"/>
      <c r="J10" s="36"/>
      <c r="K10" s="37"/>
      <c r="L10" s="8"/>
      <c r="M10" s="8"/>
    </row>
    <row r="11" spans="1:13" ht="15.75" x14ac:dyDescent="0.25">
      <c r="A11" s="2" t="s">
        <v>59</v>
      </c>
      <c r="B11" s="3">
        <f>(B7-B9)/2</f>
        <v>2184.5349999999999</v>
      </c>
      <c r="C11" s="11"/>
      <c r="D11" s="73">
        <v>44246</v>
      </c>
      <c r="E11" s="107">
        <v>53.1</v>
      </c>
      <c r="F11" s="74" t="s">
        <v>1753</v>
      </c>
      <c r="H11" s="6">
        <v>44253</v>
      </c>
      <c r="I11" s="58">
        <v>500</v>
      </c>
      <c r="J11" s="36" t="s">
        <v>165</v>
      </c>
      <c r="K11" s="37"/>
      <c r="L11" s="8" t="s">
        <v>1788</v>
      </c>
      <c r="M11" s="8" t="s">
        <v>267</v>
      </c>
    </row>
    <row r="12" spans="1:13" ht="15.75" x14ac:dyDescent="0.25">
      <c r="A12" s="2"/>
      <c r="B12" s="3"/>
      <c r="C12" s="11"/>
      <c r="D12" s="87"/>
      <c r="E12" s="26"/>
      <c r="F12" s="74"/>
      <c r="H12" s="6">
        <v>44253</v>
      </c>
      <c r="I12" s="97">
        <v>2000</v>
      </c>
      <c r="J12" s="36" t="s">
        <v>46</v>
      </c>
      <c r="K12" s="37"/>
      <c r="L12" s="8" t="s">
        <v>1669</v>
      </c>
      <c r="M12" s="8" t="s">
        <v>268</v>
      </c>
    </row>
    <row r="13" spans="1:13" ht="15.75" x14ac:dyDescent="0.25">
      <c r="A13" s="2"/>
      <c r="B13" s="3"/>
      <c r="C13" s="11"/>
      <c r="D13" s="73"/>
      <c r="E13" s="53"/>
      <c r="F13" s="88"/>
      <c r="H13" s="6">
        <v>44256</v>
      </c>
      <c r="I13" s="97">
        <v>400</v>
      </c>
      <c r="J13" s="36" t="s">
        <v>46</v>
      </c>
      <c r="K13" s="37"/>
      <c r="L13" s="8" t="s">
        <v>1465</v>
      </c>
      <c r="M13" s="8" t="s">
        <v>268</v>
      </c>
    </row>
    <row r="14" spans="1:13" ht="16.5" thickBot="1" x14ac:dyDescent="0.3">
      <c r="A14" s="2"/>
      <c r="B14" s="3"/>
      <c r="C14" s="11"/>
      <c r="D14" s="78"/>
      <c r="E14" s="79"/>
      <c r="F14" s="89"/>
      <c r="H14" s="6">
        <v>44250</v>
      </c>
      <c r="I14" s="97">
        <v>210</v>
      </c>
      <c r="J14" s="36" t="s">
        <v>46</v>
      </c>
      <c r="K14" s="37"/>
      <c r="L14" s="8" t="s">
        <v>1653</v>
      </c>
      <c r="M14" s="8" t="s">
        <v>268</v>
      </c>
    </row>
    <row r="15" spans="1:13" ht="16.5" thickBot="1" x14ac:dyDescent="0.3">
      <c r="A15" s="2"/>
      <c r="B15" s="3"/>
      <c r="C15" s="11"/>
      <c r="D15" s="80" t="s">
        <v>23</v>
      </c>
      <c r="E15" s="81">
        <f>SUM(E4:E14)</f>
        <v>1207.7099999999998</v>
      </c>
      <c r="F15" s="82"/>
      <c r="H15" s="6">
        <v>44258</v>
      </c>
      <c r="I15" s="58">
        <v>300</v>
      </c>
      <c r="J15" s="36"/>
      <c r="K15" s="37"/>
      <c r="L15" s="8" t="s">
        <v>1764</v>
      </c>
      <c r="M15" s="8" t="s">
        <v>267</v>
      </c>
    </row>
    <row r="16" spans="1:13" ht="16.5" thickBot="1" x14ac:dyDescent="0.3">
      <c r="A16" s="2"/>
      <c r="B16" s="2"/>
      <c r="C16" s="1"/>
      <c r="D16" s="221" t="s">
        <v>12</v>
      </c>
      <c r="E16" s="222"/>
      <c r="F16" s="223"/>
      <c r="H16" s="6">
        <v>44264</v>
      </c>
      <c r="I16" s="97">
        <v>500</v>
      </c>
      <c r="J16" s="36" t="s">
        <v>139</v>
      </c>
      <c r="K16" s="37"/>
      <c r="L16" s="8" t="s">
        <v>1652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83"/>
      <c r="E17" s="115"/>
      <c r="F17" s="85"/>
      <c r="H17" s="6">
        <v>44250</v>
      </c>
      <c r="I17" s="97">
        <v>1401.66</v>
      </c>
      <c r="J17" s="36" t="s">
        <v>830</v>
      </c>
      <c r="K17" s="37"/>
      <c r="L17" s="8" t="s">
        <v>1786</v>
      </c>
      <c r="M17" s="8" t="s">
        <v>268</v>
      </c>
    </row>
    <row r="18" spans="1:13" ht="15.75" x14ac:dyDescent="0.25">
      <c r="A18" s="2"/>
      <c r="B18" s="3"/>
      <c r="C18" s="1"/>
      <c r="D18" s="73"/>
      <c r="E18" s="4"/>
      <c r="F18" s="75"/>
      <c r="G18" s="121"/>
      <c r="H18" s="6"/>
      <c r="I18" s="7"/>
      <c r="J18" s="36"/>
      <c r="K18" s="37"/>
      <c r="L18" s="8"/>
      <c r="M18" s="8"/>
    </row>
    <row r="19" spans="1:13" ht="15.75" x14ac:dyDescent="0.25">
      <c r="A19" s="2" t="s">
        <v>57</v>
      </c>
      <c r="B19" s="3" t="e">
        <f ca="1">B11+M41-E15</f>
        <v>#NAME?</v>
      </c>
      <c r="C19" s="1"/>
      <c r="D19" s="76"/>
      <c r="E19" s="4"/>
      <c r="F19" s="74"/>
      <c r="H19" s="6">
        <v>44265</v>
      </c>
      <c r="I19" s="97">
        <v>2083</v>
      </c>
      <c r="J19" s="36" t="s">
        <v>1750</v>
      </c>
      <c r="K19" s="37"/>
      <c r="L19" s="8" t="s">
        <v>2214</v>
      </c>
      <c r="M19" s="8" t="s">
        <v>268</v>
      </c>
    </row>
    <row r="20" spans="1:13" ht="15.75" x14ac:dyDescent="0.25">
      <c r="A20" s="2" t="s">
        <v>12</v>
      </c>
      <c r="B20" s="3" t="e">
        <f ca="1">B11+M40+E15</f>
        <v>#NAME?</v>
      </c>
      <c r="C20" s="1"/>
      <c r="D20" s="76"/>
      <c r="E20" s="4"/>
      <c r="F20" s="74"/>
      <c r="H20" s="6">
        <v>44265</v>
      </c>
      <c r="I20" s="97">
        <v>3836.91</v>
      </c>
      <c r="J20" s="36" t="s">
        <v>830</v>
      </c>
      <c r="K20" s="37"/>
      <c r="L20" s="8" t="s">
        <v>1198</v>
      </c>
      <c r="M20" s="8" t="s">
        <v>268</v>
      </c>
    </row>
    <row r="21" spans="1:13" ht="15.75" x14ac:dyDescent="0.25">
      <c r="A21" s="2"/>
      <c r="B21" s="2"/>
      <c r="C21" s="1"/>
      <c r="D21" s="76"/>
      <c r="E21" s="4"/>
      <c r="F21" s="74"/>
      <c r="H21" s="6">
        <v>44265</v>
      </c>
      <c r="I21" s="97">
        <v>300</v>
      </c>
      <c r="J21" s="36" t="s">
        <v>46</v>
      </c>
      <c r="K21" s="37"/>
      <c r="L21" s="8" t="s">
        <v>1787</v>
      </c>
      <c r="M21" s="8" t="s">
        <v>268</v>
      </c>
    </row>
    <row r="22" spans="1:13" ht="15.75" x14ac:dyDescent="0.25">
      <c r="A22" s="2"/>
      <c r="B22" s="2"/>
      <c r="C22" s="1"/>
      <c r="D22" s="73"/>
      <c r="E22" s="4"/>
      <c r="F22" s="74"/>
      <c r="H22" s="6">
        <v>44265</v>
      </c>
      <c r="I22" s="97">
        <v>1200</v>
      </c>
      <c r="J22" s="36" t="s">
        <v>46</v>
      </c>
      <c r="K22" s="37"/>
      <c r="L22" s="8" t="s">
        <v>1789</v>
      </c>
      <c r="M22" s="8" t="s">
        <v>268</v>
      </c>
    </row>
    <row r="23" spans="1:13" ht="16.5" thickBot="1" x14ac:dyDescent="0.3">
      <c r="A23" s="1"/>
      <c r="B23" s="1"/>
      <c r="C23" s="1"/>
      <c r="D23" s="78"/>
      <c r="E23" s="84"/>
      <c r="F23" s="85"/>
      <c r="G23" s="1"/>
      <c r="H23" s="6"/>
      <c r="I23" s="7"/>
      <c r="J23" s="36"/>
      <c r="K23" s="37"/>
      <c r="L23" s="8"/>
      <c r="M23" s="8"/>
    </row>
    <row r="24" spans="1:13" ht="16.5" thickBot="1" x14ac:dyDescent="0.3">
      <c r="A24" s="196"/>
      <c r="B24" s="196"/>
      <c r="C24" s="1"/>
      <c r="D24" s="80" t="s">
        <v>23</v>
      </c>
      <c r="E24" s="81">
        <f>SUM(E17:E23)</f>
        <v>0</v>
      </c>
      <c r="F24" s="82"/>
      <c r="G24" s="77"/>
      <c r="H24" s="6"/>
      <c r="I24" s="7"/>
      <c r="J24" s="187"/>
      <c r="K24" s="188"/>
      <c r="L24" s="8"/>
      <c r="M24" s="8"/>
    </row>
    <row r="25" spans="1:13" ht="16.5" thickBot="1" x14ac:dyDescent="0.3">
      <c r="A25" s="1"/>
      <c r="B25" s="1"/>
      <c r="C25" s="1"/>
      <c r="G25" s="1"/>
      <c r="H25" s="6"/>
      <c r="I25" s="7"/>
      <c r="J25" s="187"/>
      <c r="K25" s="188"/>
      <c r="L25" s="8"/>
      <c r="M25" s="8"/>
    </row>
    <row r="26" spans="1:13" ht="16.5" thickBot="1" x14ac:dyDescent="0.3">
      <c r="A26" s="63"/>
      <c r="B26" s="116" t="s">
        <v>1744</v>
      </c>
      <c r="C26" s="117"/>
      <c r="D26" s="64" t="s">
        <v>1747</v>
      </c>
      <c r="E26" s="65" t="s">
        <v>1748</v>
      </c>
      <c r="F26" s="66" t="s">
        <v>1749</v>
      </c>
      <c r="G26" s="1"/>
      <c r="H26" s="6"/>
      <c r="I26" s="7"/>
      <c r="J26" s="187"/>
      <c r="K26" s="188"/>
      <c r="L26" s="8"/>
      <c r="M26" s="8"/>
    </row>
    <row r="27" spans="1:13" ht="18.75" x14ac:dyDescent="0.3">
      <c r="A27" s="63"/>
      <c r="B27" s="59" t="s">
        <v>1745</v>
      </c>
      <c r="C27" s="93"/>
      <c r="D27" s="94"/>
      <c r="E27" s="95" t="e">
        <f ca="1">gfSumIfColor(I3:I26,gfCelColorName(C27))</f>
        <v>#NAME?</v>
      </c>
      <c r="F27" s="96" t="e">
        <f ca="1">D27+E27</f>
        <v>#NAME?</v>
      </c>
      <c r="G27" s="9"/>
      <c r="H27" s="6" t="s">
        <v>23</v>
      </c>
      <c r="I27" s="193">
        <f>SUM(I3:I26)</f>
        <v>18514.57</v>
      </c>
      <c r="J27" s="194"/>
      <c r="K27" s="194"/>
      <c r="L27" s="194"/>
      <c r="M27" s="195"/>
    </row>
    <row r="28" spans="1:13" ht="16.5" thickBot="1" x14ac:dyDescent="0.3">
      <c r="A28" s="29"/>
      <c r="B28" s="60" t="s">
        <v>1746</v>
      </c>
      <c r="C28" s="61"/>
      <c r="D28" s="62">
        <v>2116</v>
      </c>
      <c r="E28" s="69" t="e">
        <f ca="1">gfSumIfColor(I3:I26,gfCelColorName(C28))</f>
        <v>#NAME?</v>
      </c>
      <c r="F28" s="67" t="e">
        <f ca="1">D28+E28</f>
        <v>#NAME?</v>
      </c>
      <c r="J28" s="1"/>
      <c r="K28" s="1"/>
      <c r="L28" s="196"/>
      <c r="M28" s="196"/>
    </row>
    <row r="29" spans="1:13" ht="16.5" thickBot="1" x14ac:dyDescent="0.3">
      <c r="A29" s="178"/>
      <c r="B29" s="178"/>
      <c r="C29" s="17"/>
      <c r="D29" s="72">
        <f>D27+D28</f>
        <v>2116</v>
      </c>
      <c r="E29" s="71" t="e">
        <f ca="1">E27+E28</f>
        <v>#NAME?</v>
      </c>
      <c r="F29" s="68" t="e">
        <f ca="1">F27+F28</f>
        <v>#NAME?</v>
      </c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63"/>
      <c r="B30" s="63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L31" s="180"/>
      <c r="M31" s="180"/>
    </row>
    <row r="32" spans="1:13" ht="15.75" x14ac:dyDescent="0.25">
      <c r="A32" s="178"/>
      <c r="B32" s="178"/>
      <c r="L32" s="18"/>
      <c r="M32" s="18"/>
    </row>
    <row r="33" spans="1:13" x14ac:dyDescent="0.25">
      <c r="A33" s="180"/>
      <c r="B33" s="180"/>
      <c r="C33" s="180"/>
      <c r="D33" s="180"/>
      <c r="E33" s="180"/>
      <c r="F33" s="180"/>
      <c r="G33" s="48"/>
      <c r="L33" s="18"/>
      <c r="M33" s="18"/>
    </row>
    <row r="34" spans="1:13" ht="18.75" x14ac:dyDescent="0.3">
      <c r="G34" s="131"/>
      <c r="H34" s="184" t="s">
        <v>1736</v>
      </c>
      <c r="I34" s="184"/>
      <c r="J34" s="184"/>
      <c r="K34" s="184"/>
      <c r="L34" s="180"/>
      <c r="M34" s="180"/>
    </row>
    <row r="35" spans="1:13" ht="15.75" x14ac:dyDescent="0.25">
      <c r="G35" s="131"/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G36" s="119" t="s">
        <v>1793</v>
      </c>
      <c r="H36" s="101">
        <v>44250</v>
      </c>
      <c r="I36" s="58">
        <v>1800</v>
      </c>
      <c r="J36" s="235" t="s">
        <v>173</v>
      </c>
      <c r="K36" s="236"/>
      <c r="L36" s="18"/>
      <c r="M36" s="18"/>
    </row>
    <row r="37" spans="1:13" ht="15.75" x14ac:dyDescent="0.25">
      <c r="G37" s="228" t="s">
        <v>268</v>
      </c>
      <c r="H37" s="98">
        <v>44138</v>
      </c>
      <c r="I37" s="99">
        <v>358.33</v>
      </c>
      <c r="J37" s="227" t="s">
        <v>1724</v>
      </c>
      <c r="K37" s="227"/>
      <c r="L37" s="18"/>
      <c r="M37" s="18"/>
    </row>
    <row r="38" spans="1:13" ht="15.75" x14ac:dyDescent="0.25">
      <c r="E38" t="s">
        <v>2090</v>
      </c>
      <c r="G38" s="228"/>
      <c r="H38" s="98">
        <v>44160</v>
      </c>
      <c r="I38" s="99">
        <v>411.97</v>
      </c>
      <c r="J38" s="227" t="s">
        <v>1725</v>
      </c>
      <c r="K38" s="227"/>
      <c r="L38" s="180"/>
      <c r="M38" s="180"/>
    </row>
    <row r="39" spans="1:13" ht="16.5" thickBot="1" x14ac:dyDescent="0.3">
      <c r="E39" s="57">
        <f>SUM(I37:I40,I42:I51,I54:I56,I58,I59,I61,I62,I63,I64,I66,I67)</f>
        <v>11064.09</v>
      </c>
      <c r="G39" s="228"/>
      <c r="H39" s="98">
        <v>44168</v>
      </c>
      <c r="I39" s="99">
        <v>750</v>
      </c>
      <c r="J39" s="227" t="s">
        <v>1726</v>
      </c>
      <c r="K39" s="227"/>
      <c r="L39" s="180"/>
      <c r="M39" s="180"/>
    </row>
    <row r="40" spans="1:13" ht="15.75" x14ac:dyDescent="0.25">
      <c r="G40" s="228"/>
      <c r="H40" s="98">
        <v>44534</v>
      </c>
      <c r="I40" s="99">
        <v>358.1</v>
      </c>
      <c r="J40" s="239" t="s">
        <v>1727</v>
      </c>
      <c r="K40" s="243"/>
      <c r="L40" s="123" t="s">
        <v>1754</v>
      </c>
      <c r="M40" s="124" t="e">
        <f ca="1">gfSumIfColor(I36:I68,gfCelColorName(L40))</f>
        <v>#NAME?</v>
      </c>
    </row>
    <row r="41" spans="1:13" ht="15.75" x14ac:dyDescent="0.25">
      <c r="G41" s="228"/>
      <c r="H41" s="98"/>
      <c r="I41" s="99">
        <v>81.900000000000006</v>
      </c>
      <c r="J41" s="241" t="s">
        <v>1711</v>
      </c>
      <c r="K41" s="242"/>
      <c r="L41" s="125" t="s">
        <v>1756</v>
      </c>
      <c r="M41" s="126" t="e">
        <f ca="1">gfSumIfColor(I36:I68,gfCelColorName(L41))</f>
        <v>#NAME?</v>
      </c>
    </row>
    <row r="42" spans="1:13" ht="15.75" x14ac:dyDescent="0.25">
      <c r="G42" s="228"/>
      <c r="H42" s="98">
        <v>44560</v>
      </c>
      <c r="I42" s="99">
        <v>281.10000000000002</v>
      </c>
      <c r="J42" s="239" t="s">
        <v>1728</v>
      </c>
      <c r="K42" s="240"/>
      <c r="L42" s="127" t="s">
        <v>1759</v>
      </c>
      <c r="M42" s="128" t="e">
        <f ca="1">gfSumIfColor(I36:I68,gfCelColorName(C27))</f>
        <v>#NAME?</v>
      </c>
    </row>
    <row r="43" spans="1:13" ht="16.5" thickBot="1" x14ac:dyDescent="0.3">
      <c r="G43" s="228"/>
      <c r="H43" s="98">
        <v>44217</v>
      </c>
      <c r="I43" s="99">
        <v>425</v>
      </c>
      <c r="J43" s="227" t="s">
        <v>1729</v>
      </c>
      <c r="K43" s="227"/>
      <c r="L43" s="129" t="s">
        <v>1760</v>
      </c>
      <c r="M43" s="130" t="e">
        <f ca="1">gfSumIfColor(I36:I68,gfCelColorName(C28))</f>
        <v>#NAME?</v>
      </c>
    </row>
    <row r="44" spans="1:13" ht="15.75" x14ac:dyDescent="0.25">
      <c r="G44" s="228"/>
      <c r="H44" s="98">
        <v>44218</v>
      </c>
      <c r="I44" s="99">
        <v>316.77</v>
      </c>
      <c r="J44" s="239" t="s">
        <v>1728</v>
      </c>
      <c r="K44" s="240"/>
    </row>
    <row r="45" spans="1:13" ht="15.75" x14ac:dyDescent="0.25">
      <c r="G45" s="228"/>
      <c r="H45" s="98">
        <v>44218</v>
      </c>
      <c r="I45" s="99">
        <v>103</v>
      </c>
      <c r="J45" s="227" t="s">
        <v>1730</v>
      </c>
      <c r="K45" s="227"/>
    </row>
    <row r="46" spans="1:13" ht="15.75" x14ac:dyDescent="0.25">
      <c r="G46" s="228"/>
      <c r="H46" s="98">
        <v>44223</v>
      </c>
      <c r="I46" s="99">
        <v>466.52</v>
      </c>
      <c r="J46" s="227" t="s">
        <v>1731</v>
      </c>
      <c r="K46" s="227"/>
    </row>
    <row r="47" spans="1:13" ht="15.75" x14ac:dyDescent="0.25">
      <c r="G47" s="228"/>
      <c r="H47" s="98">
        <v>44223</v>
      </c>
      <c r="I47" s="99">
        <v>302.67</v>
      </c>
      <c r="J47" s="241" t="s">
        <v>1732</v>
      </c>
      <c r="K47" s="244"/>
    </row>
    <row r="48" spans="1:13" ht="15.75" x14ac:dyDescent="0.25">
      <c r="G48" s="228"/>
      <c r="H48" s="98">
        <v>44223</v>
      </c>
      <c r="I48" s="99">
        <v>506.46</v>
      </c>
      <c r="J48" s="241" t="s">
        <v>1733</v>
      </c>
      <c r="K48" s="244"/>
    </row>
    <row r="49" spans="7:11" ht="15.75" x14ac:dyDescent="0.25">
      <c r="G49" s="228"/>
      <c r="H49" s="98">
        <v>44247</v>
      </c>
      <c r="I49" s="99">
        <v>49</v>
      </c>
      <c r="J49" s="227" t="s">
        <v>1761</v>
      </c>
      <c r="K49" s="227"/>
    </row>
    <row r="50" spans="7:11" ht="15.75" x14ac:dyDescent="0.25">
      <c r="G50" s="228"/>
      <c r="H50" s="98">
        <v>44236</v>
      </c>
      <c r="I50" s="99">
        <v>167.2</v>
      </c>
      <c r="J50" s="239" t="s">
        <v>1762</v>
      </c>
      <c r="K50" s="240"/>
    </row>
    <row r="51" spans="7:11" ht="15.75" x14ac:dyDescent="0.25">
      <c r="G51" s="228"/>
      <c r="H51" s="98">
        <v>44159</v>
      </c>
      <c r="I51" s="99">
        <v>1140</v>
      </c>
      <c r="J51" s="239" t="s">
        <v>1763</v>
      </c>
      <c r="K51" s="240"/>
    </row>
    <row r="52" spans="7:11" ht="15.75" x14ac:dyDescent="0.25">
      <c r="G52" s="228"/>
      <c r="H52" s="98">
        <v>44250</v>
      </c>
      <c r="I52" s="99">
        <v>21.78</v>
      </c>
      <c r="J52" s="241" t="s">
        <v>212</v>
      </c>
      <c r="K52" s="244"/>
    </row>
    <row r="53" spans="7:11" ht="15.75" x14ac:dyDescent="0.25">
      <c r="G53" s="226" t="s">
        <v>267</v>
      </c>
      <c r="H53" s="103">
        <v>44251</v>
      </c>
      <c r="I53" s="104">
        <v>24</v>
      </c>
      <c r="J53" s="251" t="s">
        <v>1755</v>
      </c>
      <c r="K53" s="251"/>
    </row>
    <row r="54" spans="7:11" ht="15.75" x14ac:dyDescent="0.25">
      <c r="G54" s="226"/>
      <c r="H54" s="103">
        <v>44252</v>
      </c>
      <c r="I54" s="104">
        <v>108.91</v>
      </c>
      <c r="J54" s="247" t="s">
        <v>1790</v>
      </c>
      <c r="K54" s="248"/>
    </row>
    <row r="55" spans="7:11" ht="15.75" x14ac:dyDescent="0.25">
      <c r="G55" s="226"/>
      <c r="H55" s="103">
        <v>44133</v>
      </c>
      <c r="I55" s="104">
        <v>150</v>
      </c>
      <c r="J55" s="247" t="s">
        <v>1734</v>
      </c>
      <c r="K55" s="248"/>
    </row>
    <row r="56" spans="7:11" ht="15.75" x14ac:dyDescent="0.25">
      <c r="G56" s="226"/>
      <c r="H56" s="103">
        <v>44133</v>
      </c>
      <c r="I56" s="104">
        <v>666.7</v>
      </c>
      <c r="J56" s="247" t="s">
        <v>1734</v>
      </c>
      <c r="K56" s="248"/>
    </row>
    <row r="57" spans="7:11" ht="18" x14ac:dyDescent="0.4">
      <c r="G57" s="226" t="s">
        <v>1792</v>
      </c>
      <c r="H57" s="108">
        <v>44265</v>
      </c>
      <c r="I57" s="135">
        <v>600</v>
      </c>
      <c r="J57" s="237" t="s">
        <v>1719</v>
      </c>
      <c r="K57" s="252"/>
    </row>
    <row r="58" spans="7:11" ht="15.75" x14ac:dyDescent="0.25">
      <c r="G58" s="226"/>
      <c r="H58" s="108">
        <v>44254</v>
      </c>
      <c r="I58" s="109">
        <v>195.91</v>
      </c>
      <c r="J58" s="249" t="s">
        <v>1757</v>
      </c>
      <c r="K58" s="250"/>
    </row>
    <row r="59" spans="7:11" ht="15.75" x14ac:dyDescent="0.25">
      <c r="G59" s="226"/>
      <c r="H59" s="108">
        <v>44256</v>
      </c>
      <c r="I59" s="109">
        <v>2816</v>
      </c>
      <c r="J59" s="249" t="s">
        <v>1758</v>
      </c>
      <c r="K59" s="250"/>
    </row>
    <row r="60" spans="7:11" ht="15.75" x14ac:dyDescent="0.25">
      <c r="G60" s="226"/>
      <c r="H60" s="108">
        <v>44258</v>
      </c>
      <c r="I60" s="109">
        <v>32.840000000000003</v>
      </c>
      <c r="J60" s="237" t="s">
        <v>1769</v>
      </c>
      <c r="K60" s="238"/>
    </row>
    <row r="61" spans="7:11" ht="15.75" x14ac:dyDescent="0.25">
      <c r="G61" s="226"/>
      <c r="H61" s="108">
        <v>44258</v>
      </c>
      <c r="I61" s="109">
        <v>350</v>
      </c>
      <c r="J61" s="237" t="s">
        <v>1765</v>
      </c>
      <c r="K61" s="238"/>
    </row>
    <row r="62" spans="7:11" ht="15.75" x14ac:dyDescent="0.25">
      <c r="G62" s="226"/>
      <c r="H62" s="108">
        <v>44263</v>
      </c>
      <c r="I62" s="109">
        <v>25.45</v>
      </c>
      <c r="J62" s="237" t="s">
        <v>1766</v>
      </c>
      <c r="K62" s="238"/>
    </row>
    <row r="63" spans="7:11" ht="15.75" x14ac:dyDescent="0.25">
      <c r="G63" s="226"/>
      <c r="H63" s="108">
        <v>44263</v>
      </c>
      <c r="I63" s="109">
        <v>35</v>
      </c>
      <c r="J63" s="237" t="s">
        <v>1767</v>
      </c>
      <c r="K63" s="238"/>
    </row>
    <row r="64" spans="7:11" ht="15.75" x14ac:dyDescent="0.25">
      <c r="G64" s="226"/>
      <c r="H64" s="108">
        <v>44263</v>
      </c>
      <c r="I64" s="109">
        <v>175</v>
      </c>
      <c r="J64" s="237" t="s">
        <v>1768</v>
      </c>
      <c r="K64" s="238"/>
    </row>
    <row r="65" spans="7:11" ht="15.75" x14ac:dyDescent="0.25">
      <c r="G65" s="226"/>
      <c r="H65" s="108">
        <v>44264</v>
      </c>
      <c r="I65" s="109">
        <v>120.89</v>
      </c>
      <c r="J65" s="237" t="s">
        <v>1114</v>
      </c>
      <c r="K65" s="238"/>
    </row>
    <row r="66" spans="7:11" ht="15.75" x14ac:dyDescent="0.25">
      <c r="G66" s="226" t="s">
        <v>1793</v>
      </c>
      <c r="H66" s="101">
        <v>44264</v>
      </c>
      <c r="I66" s="106">
        <v>345</v>
      </c>
      <c r="J66" s="245" t="s">
        <v>1636</v>
      </c>
      <c r="K66" s="246"/>
    </row>
    <row r="67" spans="7:11" ht="15.75" x14ac:dyDescent="0.25">
      <c r="G67" s="226"/>
      <c r="H67" s="6"/>
      <c r="I67" s="106">
        <v>560</v>
      </c>
      <c r="J67" s="245" t="s">
        <v>1636</v>
      </c>
      <c r="K67" s="246"/>
    </row>
    <row r="68" spans="7:11" ht="15.75" x14ac:dyDescent="0.25">
      <c r="H68" s="136">
        <v>44265</v>
      </c>
      <c r="I68" s="134">
        <v>400</v>
      </c>
      <c r="J68" s="224" t="s">
        <v>1719</v>
      </c>
      <c r="K68" s="225"/>
    </row>
    <row r="77" spans="7:11" ht="15.75" x14ac:dyDescent="0.25">
      <c r="H77" s="132"/>
      <c r="I77" s="133"/>
      <c r="J77" s="112"/>
      <c r="K77" s="112"/>
    </row>
    <row r="78" spans="7:11" ht="15.75" x14ac:dyDescent="0.25">
      <c r="H78" s="132"/>
      <c r="I78" s="133"/>
      <c r="J78" s="112"/>
      <c r="K78" s="112"/>
    </row>
  </sheetData>
  <mergeCells count="72">
    <mergeCell ref="J67:K67"/>
    <mergeCell ref="J51:K51"/>
    <mergeCell ref="J60:K60"/>
    <mergeCell ref="J61:K61"/>
    <mergeCell ref="J54:K54"/>
    <mergeCell ref="J58:K58"/>
    <mergeCell ref="J59:K59"/>
    <mergeCell ref="J53:K53"/>
    <mergeCell ref="J55:K55"/>
    <mergeCell ref="J56:K56"/>
    <mergeCell ref="J52:K52"/>
    <mergeCell ref="J57:K57"/>
    <mergeCell ref="J64:K64"/>
    <mergeCell ref="J65:K65"/>
    <mergeCell ref="J66:K66"/>
    <mergeCell ref="J62:K62"/>
    <mergeCell ref="L39:M39"/>
    <mergeCell ref="J63:K63"/>
    <mergeCell ref="J49:K49"/>
    <mergeCell ref="J50:K50"/>
    <mergeCell ref="J41:K41"/>
    <mergeCell ref="J42:K42"/>
    <mergeCell ref="J43:K43"/>
    <mergeCell ref="J40:K40"/>
    <mergeCell ref="J46:K46"/>
    <mergeCell ref="J47:K47"/>
    <mergeCell ref="J48:K48"/>
    <mergeCell ref="J44:K44"/>
    <mergeCell ref="J45:K45"/>
    <mergeCell ref="G37:G52"/>
    <mergeCell ref="L34:M34"/>
    <mergeCell ref="J35:K35"/>
    <mergeCell ref="D1:F1"/>
    <mergeCell ref="H1:M1"/>
    <mergeCell ref="J24:K24"/>
    <mergeCell ref="J25:K25"/>
    <mergeCell ref="J26:K26"/>
    <mergeCell ref="D2:F2"/>
    <mergeCell ref="J2:K2"/>
    <mergeCell ref="J3:K3"/>
    <mergeCell ref="J4:K4"/>
    <mergeCell ref="J36:K36"/>
    <mergeCell ref="J37:K37"/>
    <mergeCell ref="L38:M38"/>
    <mergeCell ref="J39:K39"/>
    <mergeCell ref="J5:K5"/>
    <mergeCell ref="J6:K6"/>
    <mergeCell ref="J7:K7"/>
    <mergeCell ref="I27:M27"/>
    <mergeCell ref="L28:M28"/>
    <mergeCell ref="L35:M35"/>
    <mergeCell ref="J68:K68"/>
    <mergeCell ref="G57:G65"/>
    <mergeCell ref="G66:G67"/>
    <mergeCell ref="A17:B17"/>
    <mergeCell ref="A33:B33"/>
    <mergeCell ref="C33:D33"/>
    <mergeCell ref="E33:F33"/>
    <mergeCell ref="H34:K34"/>
    <mergeCell ref="J38:K38"/>
    <mergeCell ref="G53:G56"/>
    <mergeCell ref="J29:K29"/>
    <mergeCell ref="L29:M29"/>
    <mergeCell ref="J30:K30"/>
    <mergeCell ref="L30:M30"/>
    <mergeCell ref="L31:M31"/>
    <mergeCell ref="A1:B1"/>
    <mergeCell ref="D16:F16"/>
    <mergeCell ref="A24:B24"/>
    <mergeCell ref="A32:B32"/>
    <mergeCell ref="A29:B29"/>
    <mergeCell ref="A2:B2"/>
  </mergeCells>
  <pageMargins left="0.25" right="0.25" top="0.75" bottom="0.75" header="0.3" footer="0.3"/>
  <pageSetup paperSize="9" scale="40" orientation="landscape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Planilha61"/>
  <dimension ref="A1:M79"/>
  <sheetViews>
    <sheetView topLeftCell="B1" zoomScale="85" zoomScaleNormal="85" workbookViewId="0">
      <selection activeCell="B15" sqref="B15"/>
    </sheetView>
  </sheetViews>
  <sheetFormatPr defaultRowHeight="15" x14ac:dyDescent="0.25"/>
  <cols>
    <col min="1" max="1" width="20.7109375" customWidth="1"/>
    <col min="2" max="2" width="25.140625" customWidth="1"/>
    <col min="3" max="3" width="11.28515625" customWidth="1"/>
    <col min="4" max="4" width="18.85546875" customWidth="1"/>
    <col min="5" max="5" width="20" customWidth="1"/>
    <col min="6" max="6" width="21.42578125" customWidth="1"/>
    <col min="7" max="7" width="19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20.5703125" customWidth="1"/>
  </cols>
  <sheetData>
    <row r="1" spans="1:13" ht="19.5" thickBot="1" x14ac:dyDescent="0.35">
      <c r="A1" s="184" t="s">
        <v>1381</v>
      </c>
      <c r="B1" s="184"/>
      <c r="C1" s="10"/>
      <c r="D1" s="229" t="s">
        <v>55</v>
      </c>
      <c r="E1" s="230"/>
      <c r="F1" s="231"/>
      <c r="H1" s="184" t="s">
        <v>1795</v>
      </c>
      <c r="I1" s="184"/>
      <c r="J1" s="184"/>
      <c r="K1" s="184"/>
      <c r="L1" s="184"/>
      <c r="M1" s="184"/>
    </row>
    <row r="2" spans="1:13" ht="19.5" thickBot="1" x14ac:dyDescent="0.35">
      <c r="A2" s="184" t="s">
        <v>1849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45086.65</v>
      </c>
      <c r="C3" s="11"/>
      <c r="D3" s="91" t="s">
        <v>1</v>
      </c>
      <c r="E3" s="91" t="s">
        <v>6</v>
      </c>
      <c r="F3" s="92" t="s">
        <v>13</v>
      </c>
      <c r="H3" s="6">
        <v>44239</v>
      </c>
      <c r="I3" s="97">
        <v>769.82</v>
      </c>
      <c r="J3" s="187" t="s">
        <v>1741</v>
      </c>
      <c r="K3" s="188"/>
      <c r="L3" s="8" t="s">
        <v>1740</v>
      </c>
      <c r="M3" s="8" t="s">
        <v>267</v>
      </c>
    </row>
    <row r="4" spans="1:13" ht="15.75" x14ac:dyDescent="0.25">
      <c r="A4" s="2"/>
      <c r="B4" s="3"/>
      <c r="C4" s="11"/>
      <c r="D4" s="83"/>
      <c r="E4" s="90"/>
      <c r="F4" s="85"/>
      <c r="G4" s="114" t="e">
        <f ca="1">gfSumIfColor(E4:E14,gfCelColorName(E5))</f>
        <v>#NAME?</v>
      </c>
      <c r="H4" s="6">
        <v>44239</v>
      </c>
      <c r="I4" s="97">
        <v>195.08</v>
      </c>
      <c r="J4" s="36" t="s">
        <v>1751</v>
      </c>
      <c r="K4" s="37"/>
      <c r="L4" s="8" t="s">
        <v>1740</v>
      </c>
      <c r="M4" s="8" t="s">
        <v>267</v>
      </c>
    </row>
    <row r="5" spans="1:13" ht="15.75" x14ac:dyDescent="0.25">
      <c r="A5" s="2" t="s">
        <v>4</v>
      </c>
      <c r="B5" s="3">
        <f>SUM(I36:I67)</f>
        <v>17150.78</v>
      </c>
      <c r="C5" s="11"/>
      <c r="D5" s="76">
        <v>44028</v>
      </c>
      <c r="E5" s="107">
        <v>234.87</v>
      </c>
      <c r="F5" s="86" t="s">
        <v>1770</v>
      </c>
      <c r="H5" s="6">
        <v>44270</v>
      </c>
      <c r="I5" s="97">
        <v>850</v>
      </c>
      <c r="J5" s="187" t="s">
        <v>788</v>
      </c>
      <c r="K5" s="188"/>
      <c r="L5" s="8" t="s">
        <v>1710</v>
      </c>
      <c r="M5" s="8" t="s">
        <v>268</v>
      </c>
    </row>
    <row r="6" spans="1:13" ht="15.75" x14ac:dyDescent="0.25">
      <c r="A6" s="2"/>
      <c r="B6" s="3"/>
      <c r="C6" s="11"/>
      <c r="D6" s="73"/>
      <c r="E6" s="4"/>
      <c r="F6" s="74"/>
      <c r="H6" s="6">
        <v>44270</v>
      </c>
      <c r="I6" s="97">
        <v>1000</v>
      </c>
      <c r="J6" s="187" t="s">
        <v>1801</v>
      </c>
      <c r="K6" s="188"/>
      <c r="L6" s="8" t="s">
        <v>1583</v>
      </c>
      <c r="M6" s="8" t="s">
        <v>268</v>
      </c>
    </row>
    <row r="7" spans="1:13" ht="15.75" x14ac:dyDescent="0.25">
      <c r="A7" s="12" t="s">
        <v>5</v>
      </c>
      <c r="B7" s="25">
        <f>B3+B4-B5</f>
        <v>27935.870000000003</v>
      </c>
      <c r="C7" s="11"/>
      <c r="D7" s="73">
        <v>44203</v>
      </c>
      <c r="E7" s="107">
        <v>92.66</v>
      </c>
      <c r="F7" s="74" t="s">
        <v>1771</v>
      </c>
      <c r="H7" s="6">
        <v>44277</v>
      </c>
      <c r="I7" s="97">
        <v>900</v>
      </c>
      <c r="J7" s="187" t="s">
        <v>1805</v>
      </c>
      <c r="K7" s="188"/>
      <c r="L7" s="8" t="s">
        <v>1804</v>
      </c>
      <c r="M7" s="8" t="s">
        <v>267</v>
      </c>
    </row>
    <row r="8" spans="1:13" ht="15.75" x14ac:dyDescent="0.25">
      <c r="A8" s="2"/>
      <c r="B8" s="3"/>
      <c r="C8" s="11"/>
      <c r="D8" s="76">
        <v>44204</v>
      </c>
      <c r="E8" s="107">
        <v>550.88</v>
      </c>
      <c r="F8" s="86" t="s">
        <v>1772</v>
      </c>
      <c r="H8" s="6">
        <v>44279</v>
      </c>
      <c r="I8" s="97">
        <v>10091</v>
      </c>
      <c r="J8" s="36" t="s">
        <v>1806</v>
      </c>
      <c r="K8" s="37"/>
      <c r="L8" s="8" t="s">
        <v>1807</v>
      </c>
      <c r="M8" s="8" t="s">
        <v>268</v>
      </c>
    </row>
    <row r="9" spans="1:13" ht="15.75" x14ac:dyDescent="0.25">
      <c r="A9" s="2"/>
      <c r="B9" s="3"/>
      <c r="C9" s="11"/>
      <c r="D9" s="73">
        <v>44204</v>
      </c>
      <c r="E9" s="107">
        <v>176.2</v>
      </c>
      <c r="F9" s="74" t="s">
        <v>1393</v>
      </c>
      <c r="G9" s="42"/>
      <c r="H9" s="6">
        <v>44280</v>
      </c>
      <c r="I9" s="58">
        <v>3500</v>
      </c>
      <c r="J9" s="36" t="s">
        <v>1808</v>
      </c>
      <c r="K9" s="37"/>
      <c r="L9" s="8" t="s">
        <v>1809</v>
      </c>
      <c r="M9" s="8" t="s">
        <v>268</v>
      </c>
    </row>
    <row r="10" spans="1:13" ht="15.75" x14ac:dyDescent="0.25">
      <c r="A10" s="2"/>
      <c r="B10" s="3"/>
      <c r="C10" s="11"/>
      <c r="D10" s="73">
        <v>44246</v>
      </c>
      <c r="E10" s="107">
        <v>100</v>
      </c>
      <c r="F10" s="74" t="s">
        <v>1773</v>
      </c>
      <c r="H10" s="6">
        <v>44285</v>
      </c>
      <c r="I10" s="97">
        <v>467.2</v>
      </c>
      <c r="J10" s="36" t="s">
        <v>46</v>
      </c>
      <c r="K10" s="37"/>
      <c r="L10" s="8" t="s">
        <v>2249</v>
      </c>
      <c r="M10" s="8" t="s">
        <v>268</v>
      </c>
    </row>
    <row r="11" spans="1:13" ht="15.75" x14ac:dyDescent="0.25">
      <c r="A11" s="2" t="s">
        <v>59</v>
      </c>
      <c r="B11" s="3">
        <f>(B7-B9)/2</f>
        <v>13967.935000000001</v>
      </c>
      <c r="C11" s="11"/>
      <c r="D11" s="73">
        <v>44265</v>
      </c>
      <c r="E11" s="53">
        <v>630.66999999999996</v>
      </c>
      <c r="F11" s="74" t="s">
        <v>1796</v>
      </c>
      <c r="H11" s="6">
        <v>44292</v>
      </c>
      <c r="I11" s="58">
        <v>300</v>
      </c>
      <c r="J11" s="36" t="s">
        <v>165</v>
      </c>
      <c r="K11" s="37"/>
      <c r="L11" s="8" t="s">
        <v>1815</v>
      </c>
      <c r="M11" s="8" t="s">
        <v>267</v>
      </c>
    </row>
    <row r="12" spans="1:13" ht="15.75" x14ac:dyDescent="0.25">
      <c r="A12" s="2"/>
      <c r="B12" s="3"/>
      <c r="C12" s="11"/>
      <c r="D12" s="87"/>
      <c r="E12" s="137">
        <v>1665.09</v>
      </c>
      <c r="F12" s="74" t="s">
        <v>1798</v>
      </c>
      <c r="H12" s="6">
        <v>44292</v>
      </c>
      <c r="I12" s="97">
        <v>2500</v>
      </c>
      <c r="J12" s="36" t="s">
        <v>1818</v>
      </c>
      <c r="K12" s="37"/>
      <c r="L12" s="8" t="s">
        <v>1817</v>
      </c>
      <c r="M12" s="8" t="s">
        <v>267</v>
      </c>
    </row>
    <row r="13" spans="1:13" ht="15.75" x14ac:dyDescent="0.25">
      <c r="A13" s="2"/>
      <c r="B13" s="3"/>
      <c r="C13" s="11"/>
      <c r="D13" s="73"/>
      <c r="E13" s="53"/>
      <c r="F13" s="88"/>
      <c r="H13" s="6"/>
      <c r="I13" s="97">
        <v>4500</v>
      </c>
      <c r="J13" s="36" t="s">
        <v>46</v>
      </c>
      <c r="K13" s="37"/>
      <c r="L13" s="8" t="s">
        <v>1819</v>
      </c>
      <c r="M13" s="8" t="s">
        <v>268</v>
      </c>
    </row>
    <row r="14" spans="1:13" ht="16.5" thickBot="1" x14ac:dyDescent="0.3">
      <c r="A14" s="2"/>
      <c r="B14" s="3"/>
      <c r="C14" s="11"/>
      <c r="D14" s="78"/>
      <c r="E14" s="79"/>
      <c r="F14" s="89"/>
      <c r="H14" s="6"/>
      <c r="I14" s="97">
        <v>1338.26</v>
      </c>
      <c r="J14" s="36" t="s">
        <v>1820</v>
      </c>
      <c r="K14" s="37"/>
      <c r="L14" s="8" t="s">
        <v>1821</v>
      </c>
      <c r="M14" s="8" t="s">
        <v>268</v>
      </c>
    </row>
    <row r="15" spans="1:13" ht="16.5" thickBot="1" x14ac:dyDescent="0.3">
      <c r="A15" s="2"/>
      <c r="B15" s="3"/>
      <c r="C15" s="11"/>
      <c r="D15" s="80" t="s">
        <v>23</v>
      </c>
      <c r="E15" s="81">
        <f>SUM(E4:E14)</f>
        <v>3450.37</v>
      </c>
      <c r="F15" s="82"/>
      <c r="H15" s="6"/>
      <c r="I15" s="97">
        <v>3097.79</v>
      </c>
      <c r="J15" s="36" t="s">
        <v>305</v>
      </c>
      <c r="K15" s="37"/>
      <c r="L15" s="8" t="s">
        <v>2358</v>
      </c>
      <c r="M15" s="8" t="s">
        <v>268</v>
      </c>
    </row>
    <row r="16" spans="1:13" ht="16.5" thickBot="1" x14ac:dyDescent="0.3">
      <c r="A16" s="2"/>
      <c r="B16" s="2"/>
      <c r="C16" s="1"/>
      <c r="D16" s="221" t="s">
        <v>12</v>
      </c>
      <c r="E16" s="222"/>
      <c r="F16" s="223"/>
      <c r="H16" s="6"/>
      <c r="I16" s="97">
        <v>477.2</v>
      </c>
      <c r="J16" s="36" t="s">
        <v>46</v>
      </c>
      <c r="K16" s="37"/>
      <c r="L16" s="8" t="s">
        <v>2249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83"/>
      <c r="E17" s="115">
        <v>1000</v>
      </c>
      <c r="F17" s="85" t="s">
        <v>1826</v>
      </c>
      <c r="H17" s="6"/>
      <c r="I17" s="97">
        <v>500</v>
      </c>
      <c r="J17" s="36"/>
      <c r="K17" s="37"/>
      <c r="L17" s="8" t="s">
        <v>1822</v>
      </c>
      <c r="M17" s="8" t="s">
        <v>268</v>
      </c>
    </row>
    <row r="18" spans="1:13" ht="15.75" x14ac:dyDescent="0.25">
      <c r="A18" s="2"/>
      <c r="B18" s="3"/>
      <c r="C18" s="1"/>
      <c r="D18" s="73"/>
      <c r="E18" s="56">
        <v>500</v>
      </c>
      <c r="F18" s="75" t="s">
        <v>1827</v>
      </c>
      <c r="G18" s="121"/>
      <c r="H18" s="6"/>
      <c r="I18" s="58">
        <v>1066</v>
      </c>
      <c r="J18" s="36" t="s">
        <v>1820</v>
      </c>
      <c r="K18" s="37"/>
      <c r="L18" s="8" t="s">
        <v>1823</v>
      </c>
      <c r="M18" s="8" t="s">
        <v>268</v>
      </c>
    </row>
    <row r="19" spans="1:13" ht="15.75" x14ac:dyDescent="0.25">
      <c r="A19" s="2" t="s">
        <v>57</v>
      </c>
      <c r="B19" s="3" t="e">
        <f ca="1">B11-E15+M41</f>
        <v>#NAME?</v>
      </c>
      <c r="C19" s="1"/>
      <c r="D19" s="76"/>
      <c r="E19" s="4"/>
      <c r="F19" s="74"/>
      <c r="H19" s="6"/>
      <c r="I19" s="97">
        <v>3322.36</v>
      </c>
      <c r="J19" s="36" t="s">
        <v>1820</v>
      </c>
      <c r="K19" s="37"/>
      <c r="L19" s="8" t="s">
        <v>1807</v>
      </c>
      <c r="M19" s="8" t="s">
        <v>268</v>
      </c>
    </row>
    <row r="20" spans="1:13" ht="15.75" x14ac:dyDescent="0.25">
      <c r="A20" s="2" t="s">
        <v>12</v>
      </c>
      <c r="B20" s="3" t="e">
        <f ca="1">B11+G4+M40-E24</f>
        <v>#NAME?</v>
      </c>
      <c r="C20" s="1"/>
      <c r="D20" s="76"/>
      <c r="E20" s="4"/>
      <c r="F20" s="74"/>
      <c r="H20" s="6"/>
      <c r="I20" s="97">
        <v>4711.9399999999996</v>
      </c>
      <c r="J20" s="36" t="s">
        <v>1806</v>
      </c>
      <c r="K20" s="37"/>
      <c r="L20" s="8" t="s">
        <v>1807</v>
      </c>
      <c r="M20" s="8" t="s">
        <v>268</v>
      </c>
    </row>
    <row r="21" spans="1:13" ht="15.75" x14ac:dyDescent="0.25">
      <c r="A21" s="2"/>
      <c r="B21" s="2"/>
      <c r="C21" s="1"/>
      <c r="D21" s="76"/>
      <c r="E21" s="4"/>
      <c r="F21" s="74"/>
      <c r="H21" s="6">
        <v>44298</v>
      </c>
      <c r="I21" s="97">
        <v>5000</v>
      </c>
      <c r="J21" s="36" t="s">
        <v>1399</v>
      </c>
      <c r="K21" s="37"/>
      <c r="L21" s="8" t="s">
        <v>1828</v>
      </c>
      <c r="M21" s="8" t="s">
        <v>267</v>
      </c>
    </row>
    <row r="22" spans="1:13" ht="15.75" x14ac:dyDescent="0.25">
      <c r="A22" s="2"/>
      <c r="B22" s="2"/>
      <c r="C22" s="1"/>
      <c r="D22" s="73"/>
      <c r="E22" s="4"/>
      <c r="F22" s="74"/>
      <c r="H22" s="6">
        <v>44298</v>
      </c>
      <c r="I22" s="97">
        <v>500</v>
      </c>
      <c r="J22" s="36" t="s">
        <v>139</v>
      </c>
      <c r="K22" s="37"/>
      <c r="L22" s="8" t="s">
        <v>1850</v>
      </c>
      <c r="M22" s="8" t="s">
        <v>268</v>
      </c>
    </row>
    <row r="23" spans="1:13" ht="16.5" thickBot="1" x14ac:dyDescent="0.3">
      <c r="A23" s="1"/>
      <c r="B23" s="1"/>
      <c r="C23" s="1"/>
      <c r="D23" s="78"/>
      <c r="E23" s="84"/>
      <c r="F23" s="85"/>
      <c r="G23" s="1"/>
      <c r="H23" s="6"/>
      <c r="I23" s="7"/>
      <c r="J23" s="36"/>
      <c r="K23" s="37"/>
      <c r="L23" s="8"/>
      <c r="M23" s="8"/>
    </row>
    <row r="24" spans="1:13" ht="16.5" thickBot="1" x14ac:dyDescent="0.3">
      <c r="A24" s="1"/>
      <c r="B24" s="1"/>
      <c r="C24" s="1"/>
      <c r="D24" s="80" t="s">
        <v>23</v>
      </c>
      <c r="E24" s="81">
        <f>SUM(E17:E23)</f>
        <v>1500</v>
      </c>
      <c r="F24" s="82"/>
      <c r="G24" s="77"/>
      <c r="H24" s="6"/>
      <c r="I24" s="7"/>
      <c r="J24" s="187"/>
      <c r="K24" s="188"/>
      <c r="L24" s="8"/>
      <c r="M24" s="8"/>
    </row>
    <row r="25" spans="1:13" ht="15.75" x14ac:dyDescent="0.25">
      <c r="A25" s="1"/>
      <c r="B25" s="1"/>
      <c r="C25" s="1"/>
      <c r="G25" s="1"/>
      <c r="H25" s="6"/>
      <c r="I25" s="7"/>
      <c r="J25" s="187"/>
      <c r="K25" s="188"/>
      <c r="L25" s="8"/>
      <c r="M25" s="8"/>
    </row>
    <row r="26" spans="1:13" ht="15.75" x14ac:dyDescent="0.25">
      <c r="A26" s="1"/>
      <c r="B26" s="1"/>
      <c r="C26" s="1"/>
      <c r="D26" s="17"/>
      <c r="E26" s="17"/>
      <c r="F26" s="1"/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17"/>
      <c r="E27" s="17"/>
      <c r="F27" s="9"/>
      <c r="G27" s="9"/>
      <c r="H27" s="6" t="s">
        <v>23</v>
      </c>
      <c r="I27" s="193">
        <f>SUM(I3:I26)</f>
        <v>45086.65</v>
      </c>
      <c r="J27" s="194"/>
      <c r="K27" s="194"/>
      <c r="L27" s="194"/>
      <c r="M27" s="195"/>
    </row>
    <row r="28" spans="1:13" ht="15.75" x14ac:dyDescent="0.25">
      <c r="A28" s="63"/>
      <c r="B28" s="63"/>
      <c r="C28" s="63"/>
      <c r="D28" s="63"/>
      <c r="E28" s="63"/>
      <c r="F28" s="63"/>
      <c r="J28" s="1"/>
      <c r="K28" s="1"/>
      <c r="L28" s="196"/>
      <c r="M28" s="196"/>
    </row>
    <row r="29" spans="1:13" ht="15.75" x14ac:dyDescent="0.25">
      <c r="A29" s="63"/>
      <c r="B29" s="63"/>
      <c r="C29" s="63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63"/>
      <c r="B30" s="63"/>
      <c r="C30" s="63"/>
      <c r="J30" s="180" t="s">
        <v>65</v>
      </c>
      <c r="K30" s="180"/>
      <c r="L30" s="180" t="s">
        <v>67</v>
      </c>
      <c r="M30" s="180"/>
    </row>
    <row r="31" spans="1:13" ht="15.75" x14ac:dyDescent="0.25">
      <c r="A31" s="17"/>
      <c r="B31" s="29"/>
      <c r="C31" s="29"/>
      <c r="L31" s="180"/>
      <c r="M31" s="180"/>
    </row>
    <row r="32" spans="1:13" ht="16.5" thickBot="1" x14ac:dyDescent="0.3">
      <c r="A32" s="17"/>
      <c r="B32" s="17"/>
      <c r="C32" s="17"/>
      <c r="L32" s="18"/>
      <c r="M32" s="18"/>
    </row>
    <row r="33" spans="1:13" ht="15.75" thickBot="1" x14ac:dyDescent="0.3">
      <c r="A33" s="18"/>
      <c r="B33" s="18"/>
      <c r="C33" s="18"/>
      <c r="D33" s="18"/>
      <c r="E33" s="18"/>
      <c r="F33" s="18"/>
      <c r="G33" s="70"/>
      <c r="L33" s="18"/>
      <c r="M33" s="18"/>
    </row>
    <row r="34" spans="1:13" ht="19.5" thickBot="1" x14ac:dyDescent="0.35">
      <c r="B34" s="258" t="s">
        <v>1744</v>
      </c>
      <c r="C34" s="259"/>
      <c r="D34" s="64" t="s">
        <v>1747</v>
      </c>
      <c r="E34" s="65" t="s">
        <v>1748</v>
      </c>
      <c r="F34" s="66" t="s">
        <v>1749</v>
      </c>
      <c r="H34" s="184" t="s">
        <v>1794</v>
      </c>
      <c r="I34" s="184"/>
      <c r="J34" s="184"/>
      <c r="K34" s="184"/>
      <c r="L34" s="180"/>
      <c r="M34" s="180"/>
    </row>
    <row r="35" spans="1:13" ht="15.75" x14ac:dyDescent="0.25">
      <c r="B35" s="59" t="s">
        <v>1745</v>
      </c>
      <c r="C35" s="93"/>
      <c r="D35" s="94"/>
      <c r="E35" s="95" t="e">
        <f ca="1">gfSumIfColor(I3:I26,gfCelColorName(C35))</f>
        <v>#NAME?</v>
      </c>
      <c r="F35" s="96" t="e">
        <f ca="1">D35+E35</f>
        <v>#NAME?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6.5" thickBot="1" x14ac:dyDescent="0.3">
      <c r="B36" s="60" t="s">
        <v>1746</v>
      </c>
      <c r="C36" s="61"/>
      <c r="D36" s="62">
        <v>2066</v>
      </c>
      <c r="E36" s="69" t="e">
        <f ca="1">gfSumIfColor(I3:I26,gfCelColorName(C36))</f>
        <v>#NAME?</v>
      </c>
      <c r="F36" s="67" t="e">
        <f ca="1">D36+E36</f>
        <v>#NAME?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6.5" thickBot="1" x14ac:dyDescent="0.3">
      <c r="B37" s="17"/>
      <c r="C37" s="17"/>
      <c r="D37" s="72">
        <f>D35+D36</f>
        <v>2066</v>
      </c>
      <c r="E37" s="71" t="e">
        <f ca="1">E35+E36</f>
        <v>#NAME?</v>
      </c>
      <c r="F37" s="68" t="e">
        <f ca="1">F35+F36</f>
        <v>#NAME?</v>
      </c>
      <c r="H37" s="118">
        <v>44138</v>
      </c>
      <c r="I37" s="99">
        <v>358.33</v>
      </c>
      <c r="J37" s="257" t="s">
        <v>1774</v>
      </c>
      <c r="K37" s="257"/>
      <c r="L37" s="18"/>
      <c r="M37" s="18"/>
    </row>
    <row r="38" spans="1:13" ht="15.75" x14ac:dyDescent="0.25">
      <c r="H38" s="118">
        <v>44160</v>
      </c>
      <c r="I38" s="99">
        <v>411.97</v>
      </c>
      <c r="J38" s="257" t="s">
        <v>1775</v>
      </c>
      <c r="K38" s="257"/>
      <c r="L38" s="180"/>
      <c r="M38" s="180"/>
    </row>
    <row r="39" spans="1:13" ht="15.75" x14ac:dyDescent="0.25">
      <c r="H39" s="118">
        <v>44168</v>
      </c>
      <c r="I39" s="99">
        <v>750</v>
      </c>
      <c r="J39" s="257" t="s">
        <v>1776</v>
      </c>
      <c r="K39" s="257"/>
      <c r="L39" s="180"/>
      <c r="M39" s="180"/>
    </row>
    <row r="40" spans="1:13" ht="15.75" x14ac:dyDescent="0.25">
      <c r="F40" t="s">
        <v>2090</v>
      </c>
      <c r="H40" s="118">
        <v>44534</v>
      </c>
      <c r="I40" s="99">
        <v>358.1</v>
      </c>
      <c r="J40" s="253" t="s">
        <v>1777</v>
      </c>
      <c r="K40" s="254"/>
      <c r="L40" s="100" t="s">
        <v>1754</v>
      </c>
      <c r="M40" s="102" t="e">
        <f ca="1">gfSumIfColor(I36:I75,gfCelColorName(L40))</f>
        <v>#NAME?</v>
      </c>
    </row>
    <row r="41" spans="1:13" ht="15.75" x14ac:dyDescent="0.25">
      <c r="F41" s="57">
        <f>SUM(I37:I41,I44:I46,I48:I57,I60,I63,I64,I65,I66,I67)</f>
        <v>8521.99</v>
      </c>
      <c r="H41" s="118">
        <v>44254</v>
      </c>
      <c r="I41" s="109">
        <v>195.91</v>
      </c>
      <c r="J41" s="255" t="s">
        <v>1784</v>
      </c>
      <c r="K41" s="256"/>
      <c r="L41" s="105" t="s">
        <v>1756</v>
      </c>
      <c r="M41" s="122" t="e">
        <f ca="1">gfSumIfColor(I36:I75,gfCelColorName(L41))</f>
        <v>#NAME?</v>
      </c>
    </row>
    <row r="42" spans="1:13" ht="15.75" x14ac:dyDescent="0.25">
      <c r="G42" s="112"/>
      <c r="H42" s="118"/>
      <c r="I42" s="109">
        <v>1000</v>
      </c>
      <c r="J42" s="253" t="s">
        <v>1719</v>
      </c>
      <c r="K42" s="254"/>
      <c r="L42" s="110" t="s">
        <v>1759</v>
      </c>
      <c r="M42" s="102" t="e">
        <f ca="1">gfSumIfColor(I36:I75,gfCelColorName(C35))</f>
        <v>#NAME?</v>
      </c>
    </row>
    <row r="43" spans="1:13" ht="15.75" x14ac:dyDescent="0.25">
      <c r="H43" s="118"/>
      <c r="I43" s="99">
        <v>81.900000000000006</v>
      </c>
      <c r="J43" s="255" t="s">
        <v>1711</v>
      </c>
      <c r="K43" s="256"/>
      <c r="L43" s="111" t="s">
        <v>1760</v>
      </c>
      <c r="M43" s="113" t="e">
        <f ca="1">gfSumIfColor(I36:I75,gfCelColorName(C36))</f>
        <v>#NAME?</v>
      </c>
    </row>
    <row r="44" spans="1:13" ht="15.75" x14ac:dyDescent="0.25">
      <c r="H44" s="118">
        <v>44560</v>
      </c>
      <c r="I44" s="99">
        <v>281.10000000000002</v>
      </c>
      <c r="J44" s="253" t="s">
        <v>1778</v>
      </c>
      <c r="K44" s="254"/>
    </row>
    <row r="45" spans="1:13" ht="15.75" x14ac:dyDescent="0.25">
      <c r="H45" s="118">
        <v>44217</v>
      </c>
      <c r="I45" s="99">
        <v>425</v>
      </c>
      <c r="J45" s="257" t="s">
        <v>1779</v>
      </c>
      <c r="K45" s="257"/>
    </row>
    <row r="46" spans="1:13" ht="15.75" x14ac:dyDescent="0.25">
      <c r="H46" s="118">
        <v>44218</v>
      </c>
      <c r="I46" s="99">
        <v>316.77</v>
      </c>
      <c r="J46" s="253" t="s">
        <v>1778</v>
      </c>
      <c r="K46" s="254"/>
    </row>
    <row r="47" spans="1:13" ht="15.75" x14ac:dyDescent="0.25">
      <c r="H47" s="118"/>
      <c r="I47" s="53"/>
      <c r="J47" s="257"/>
      <c r="K47" s="257"/>
    </row>
    <row r="48" spans="1:13" ht="15.75" x14ac:dyDescent="0.25">
      <c r="H48" s="118">
        <v>44223</v>
      </c>
      <c r="I48" s="99">
        <v>466.52</v>
      </c>
      <c r="J48" s="257" t="s">
        <v>1780</v>
      </c>
      <c r="K48" s="257"/>
    </row>
    <row r="49" spans="7:11" ht="15.75" x14ac:dyDescent="0.25">
      <c r="H49" s="118">
        <v>44223</v>
      </c>
      <c r="I49" s="99">
        <v>302.67</v>
      </c>
      <c r="J49" s="255" t="s">
        <v>1781</v>
      </c>
      <c r="K49" s="256"/>
    </row>
    <row r="50" spans="7:11" ht="15.75" x14ac:dyDescent="0.25">
      <c r="H50" s="118">
        <v>44223</v>
      </c>
      <c r="I50" s="99">
        <v>506.46</v>
      </c>
      <c r="J50" s="255" t="s">
        <v>1782</v>
      </c>
      <c r="K50" s="256"/>
    </row>
    <row r="51" spans="7:11" ht="15.75" x14ac:dyDescent="0.25">
      <c r="H51" s="118">
        <v>44236</v>
      </c>
      <c r="I51" s="99">
        <v>167.2</v>
      </c>
      <c r="J51" s="253" t="s">
        <v>1785</v>
      </c>
      <c r="K51" s="254"/>
    </row>
    <row r="52" spans="7:11" ht="15.75" x14ac:dyDescent="0.25">
      <c r="H52" s="118">
        <v>44133</v>
      </c>
      <c r="I52" s="104">
        <v>150</v>
      </c>
      <c r="J52" s="255" t="s">
        <v>1783</v>
      </c>
      <c r="K52" s="256"/>
    </row>
    <row r="53" spans="7:11" ht="15.75" x14ac:dyDescent="0.25">
      <c r="H53" s="118">
        <v>44133</v>
      </c>
      <c r="I53" s="104">
        <v>666.7</v>
      </c>
      <c r="J53" s="255" t="s">
        <v>1783</v>
      </c>
      <c r="K53" s="256"/>
    </row>
    <row r="54" spans="7:11" ht="15.75" x14ac:dyDescent="0.25">
      <c r="H54" s="118">
        <v>44252</v>
      </c>
      <c r="I54" s="104">
        <v>108.91</v>
      </c>
      <c r="J54" s="255" t="s">
        <v>1791</v>
      </c>
      <c r="K54" s="256"/>
    </row>
    <row r="55" spans="7:11" ht="15.75" x14ac:dyDescent="0.25">
      <c r="H55" s="118">
        <v>44266</v>
      </c>
      <c r="I55" s="109">
        <v>241</v>
      </c>
      <c r="J55" s="255" t="s">
        <v>1797</v>
      </c>
      <c r="K55" s="256"/>
    </row>
    <row r="56" spans="7:11" ht="15.75" x14ac:dyDescent="0.25">
      <c r="H56" s="118">
        <v>44266</v>
      </c>
      <c r="I56" s="109">
        <v>77</v>
      </c>
      <c r="J56" s="255" t="s">
        <v>1811</v>
      </c>
      <c r="K56" s="256"/>
    </row>
    <row r="57" spans="7:11" ht="15.75" x14ac:dyDescent="0.25">
      <c r="H57" s="118">
        <v>44267</v>
      </c>
      <c r="I57" s="109">
        <v>196.54</v>
      </c>
      <c r="J57" s="255" t="s">
        <v>1799</v>
      </c>
      <c r="K57" s="256"/>
    </row>
    <row r="58" spans="7:11" ht="15.75" x14ac:dyDescent="0.25">
      <c r="H58" s="118">
        <v>44270</v>
      </c>
      <c r="I58" s="109">
        <v>121.89</v>
      </c>
      <c r="J58" s="257" t="s">
        <v>1800</v>
      </c>
      <c r="K58" s="257"/>
    </row>
    <row r="59" spans="7:11" ht="15.75" x14ac:dyDescent="0.25">
      <c r="H59" s="118">
        <v>44272</v>
      </c>
      <c r="I59" s="109">
        <v>180</v>
      </c>
      <c r="J59" s="255" t="s">
        <v>1802</v>
      </c>
      <c r="K59" s="256"/>
    </row>
    <row r="60" spans="7:11" ht="15.75" x14ac:dyDescent="0.25">
      <c r="G60" s="112"/>
      <c r="H60" s="118">
        <v>44273</v>
      </c>
      <c r="I60" s="106">
        <v>200</v>
      </c>
      <c r="J60" s="255" t="s">
        <v>1803</v>
      </c>
      <c r="K60" s="256"/>
    </row>
    <row r="61" spans="7:11" ht="15.75" x14ac:dyDescent="0.25">
      <c r="H61" s="118">
        <v>44274</v>
      </c>
      <c r="I61" s="109">
        <v>145</v>
      </c>
      <c r="J61" s="255" t="s">
        <v>1813</v>
      </c>
      <c r="K61" s="256"/>
    </row>
    <row r="62" spans="7:11" ht="15.75" x14ac:dyDescent="0.25">
      <c r="H62" s="118">
        <v>44280</v>
      </c>
      <c r="I62" s="109">
        <v>5000</v>
      </c>
      <c r="J62" s="257" t="s">
        <v>1810</v>
      </c>
      <c r="K62" s="257"/>
    </row>
    <row r="63" spans="7:11" ht="15.75" x14ac:dyDescent="0.25">
      <c r="H63" s="118">
        <v>44271</v>
      </c>
      <c r="I63" s="109">
        <v>156</v>
      </c>
      <c r="J63" s="255" t="s">
        <v>1812</v>
      </c>
      <c r="K63" s="256"/>
    </row>
    <row r="64" spans="7:11" ht="15.75" x14ac:dyDescent="0.25">
      <c r="H64" s="118">
        <v>44279</v>
      </c>
      <c r="I64" s="109">
        <v>1780</v>
      </c>
      <c r="J64" s="253" t="s">
        <v>1814</v>
      </c>
      <c r="K64" s="254"/>
    </row>
    <row r="65" spans="8:11" ht="15.75" x14ac:dyDescent="0.25">
      <c r="H65" s="118">
        <v>44292</v>
      </c>
      <c r="I65" s="109">
        <v>128.16</v>
      </c>
      <c r="J65" s="253" t="s">
        <v>1816</v>
      </c>
      <c r="K65" s="254"/>
    </row>
    <row r="66" spans="8:11" ht="15.75" x14ac:dyDescent="0.25">
      <c r="H66" s="118">
        <v>44287</v>
      </c>
      <c r="I66" s="109">
        <v>128.80000000000001</v>
      </c>
      <c r="J66" s="253" t="s">
        <v>1824</v>
      </c>
      <c r="K66" s="254"/>
    </row>
    <row r="67" spans="8:11" ht="15.75" x14ac:dyDescent="0.25">
      <c r="H67" s="118">
        <v>44279</v>
      </c>
      <c r="I67" s="109">
        <v>148.85</v>
      </c>
      <c r="J67" s="253" t="s">
        <v>1825</v>
      </c>
      <c r="K67" s="254"/>
    </row>
    <row r="68" spans="8:11" ht="15.75" x14ac:dyDescent="0.25">
      <c r="H68" s="118">
        <v>44293</v>
      </c>
      <c r="I68" s="109">
        <v>114.81</v>
      </c>
      <c r="J68" s="253" t="s">
        <v>145</v>
      </c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ht="15.75" x14ac:dyDescent="0.25">
      <c r="H77" s="118"/>
      <c r="I77" s="53"/>
      <c r="J77" s="253"/>
      <c r="K77" s="254"/>
    </row>
    <row r="78" spans="8:11" ht="15.75" x14ac:dyDescent="0.25">
      <c r="H78" s="118"/>
      <c r="I78" s="53"/>
      <c r="J78" s="253"/>
      <c r="K78" s="254"/>
    </row>
    <row r="79" spans="8:11" x14ac:dyDescent="0.25">
      <c r="I79" s="57">
        <f>SUM(I36:I69)</f>
        <v>17265.59</v>
      </c>
    </row>
  </sheetData>
  <mergeCells count="72">
    <mergeCell ref="A1:B1"/>
    <mergeCell ref="D1:F1"/>
    <mergeCell ref="H1:M1"/>
    <mergeCell ref="A2:B2"/>
    <mergeCell ref="D2:F2"/>
    <mergeCell ref="J2:K2"/>
    <mergeCell ref="J3:K3"/>
    <mergeCell ref="J5:K5"/>
    <mergeCell ref="J6:K6"/>
    <mergeCell ref="J7:K7"/>
    <mergeCell ref="D16:F16"/>
    <mergeCell ref="A17:B17"/>
    <mergeCell ref="J24:K24"/>
    <mergeCell ref="J25:K25"/>
    <mergeCell ref="J26:K26"/>
    <mergeCell ref="I27:M27"/>
    <mergeCell ref="L28:M28"/>
    <mergeCell ref="B34:C34"/>
    <mergeCell ref="J29:K29"/>
    <mergeCell ref="L29:M29"/>
    <mergeCell ref="J30:K30"/>
    <mergeCell ref="L30:M30"/>
    <mergeCell ref="J37:K37"/>
    <mergeCell ref="L31:M31"/>
    <mergeCell ref="H34:K34"/>
    <mergeCell ref="L34:M34"/>
    <mergeCell ref="J35:K35"/>
    <mergeCell ref="L35:M35"/>
    <mergeCell ref="J36:K36"/>
    <mergeCell ref="J47:K4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J45:K45"/>
    <mergeCell ref="J46:K46"/>
    <mergeCell ref="J59:K59"/>
    <mergeCell ref="J48:K48"/>
    <mergeCell ref="J49:K49"/>
    <mergeCell ref="J50:K50"/>
    <mergeCell ref="J51:K51"/>
    <mergeCell ref="J52:K52"/>
    <mergeCell ref="J53:K53"/>
    <mergeCell ref="J54:K54"/>
    <mergeCell ref="J55:K55"/>
    <mergeCell ref="J56:K56"/>
    <mergeCell ref="J57:K57"/>
    <mergeCell ref="J58:K58"/>
    <mergeCell ref="J71:K71"/>
    <mergeCell ref="J60:K60"/>
    <mergeCell ref="J61:K61"/>
    <mergeCell ref="J62:K62"/>
    <mergeCell ref="J63:K63"/>
    <mergeCell ref="J64:K64"/>
    <mergeCell ref="J65:K65"/>
    <mergeCell ref="J66:K66"/>
    <mergeCell ref="J67:K67"/>
    <mergeCell ref="J68:K68"/>
    <mergeCell ref="J69:K69"/>
    <mergeCell ref="J70:K70"/>
    <mergeCell ref="J78:K78"/>
    <mergeCell ref="J72:K72"/>
    <mergeCell ref="J73:K73"/>
    <mergeCell ref="J74:K74"/>
    <mergeCell ref="J75:K75"/>
    <mergeCell ref="J76:K76"/>
    <mergeCell ref="J77:K77"/>
  </mergeCells>
  <pageMargins left="0.51181102362204722" right="0.51181102362204722" top="0.78740157480314965" bottom="0.78740157480314965" header="0.31496062992125984" footer="0.31496062992125984"/>
  <pageSetup paperSize="9" scale="70" orientation="landscape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Planilha62"/>
  <dimension ref="A1:N79"/>
  <sheetViews>
    <sheetView topLeftCell="G6" zoomScale="85" zoomScaleNormal="85" workbookViewId="0">
      <selection activeCell="H25" sqref="H25:L25"/>
    </sheetView>
  </sheetViews>
  <sheetFormatPr defaultRowHeight="15" x14ac:dyDescent="0.25"/>
  <cols>
    <col min="1" max="1" width="20.7109375" customWidth="1"/>
    <col min="2" max="2" width="15.7109375" customWidth="1"/>
    <col min="3" max="3" width="11.2851562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1387</v>
      </c>
      <c r="B1" s="184"/>
      <c r="C1" s="10"/>
      <c r="D1" s="229" t="s">
        <v>55</v>
      </c>
      <c r="E1" s="230"/>
      <c r="F1" s="231"/>
      <c r="H1" s="184" t="s">
        <v>1848</v>
      </c>
      <c r="I1" s="184"/>
      <c r="J1" s="184"/>
      <c r="K1" s="184"/>
      <c r="L1" s="184"/>
      <c r="M1" s="184"/>
    </row>
    <row r="2" spans="1:13" ht="19.5" thickBot="1" x14ac:dyDescent="0.35">
      <c r="A2" s="184" t="s">
        <v>1847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I28</f>
        <v>74932.800000000017</v>
      </c>
      <c r="C3" s="11"/>
      <c r="D3" s="91" t="s">
        <v>1</v>
      </c>
      <c r="E3" s="91" t="s">
        <v>6</v>
      </c>
      <c r="F3" s="92" t="s">
        <v>13</v>
      </c>
      <c r="H3" s="6">
        <v>44299</v>
      </c>
      <c r="I3" s="97">
        <v>1100</v>
      </c>
      <c r="J3" s="187" t="s">
        <v>1853</v>
      </c>
      <c r="K3" s="188"/>
      <c r="L3" s="8" t="s">
        <v>1852</v>
      </c>
      <c r="M3" s="8" t="s">
        <v>267</v>
      </c>
    </row>
    <row r="4" spans="1:13" ht="15.75" x14ac:dyDescent="0.25">
      <c r="A4" s="2"/>
      <c r="B4" s="3"/>
      <c r="C4" s="11"/>
      <c r="D4" s="83"/>
      <c r="E4" s="90"/>
      <c r="F4" s="85"/>
      <c r="G4" s="114" t="e">
        <f ca="1">gfSumIfColor(E4:E14,gfCelColorName(E5))</f>
        <v>#NAME?</v>
      </c>
      <c r="H4" s="6">
        <v>44299</v>
      </c>
      <c r="I4" s="97">
        <v>500</v>
      </c>
      <c r="J4" s="36" t="s">
        <v>46</v>
      </c>
      <c r="K4" s="37"/>
      <c r="L4" s="8" t="s">
        <v>786</v>
      </c>
      <c r="M4" s="8" t="s">
        <v>268</v>
      </c>
    </row>
    <row r="5" spans="1:13" ht="15.75" x14ac:dyDescent="0.25">
      <c r="A5" s="2" t="s">
        <v>4</v>
      </c>
      <c r="B5" s="3">
        <f>SUM(I36:I67)</f>
        <v>13237.250000000002</v>
      </c>
      <c r="C5" s="11"/>
      <c r="D5" s="76">
        <v>44028</v>
      </c>
      <c r="E5" s="107">
        <v>234.87</v>
      </c>
      <c r="F5" s="86" t="s">
        <v>1842</v>
      </c>
      <c r="H5" s="6">
        <v>44301</v>
      </c>
      <c r="I5" s="97">
        <v>791.75</v>
      </c>
      <c r="J5" s="187" t="s">
        <v>763</v>
      </c>
      <c r="K5" s="188"/>
      <c r="L5" s="8" t="s">
        <v>1854</v>
      </c>
      <c r="M5" s="8" t="s">
        <v>268</v>
      </c>
    </row>
    <row r="6" spans="1:13" ht="15.75" x14ac:dyDescent="0.25">
      <c r="A6" s="2"/>
      <c r="B6" s="3"/>
      <c r="C6" s="11"/>
      <c r="D6" s="73">
        <v>44203</v>
      </c>
      <c r="E6" s="107">
        <v>92.66</v>
      </c>
      <c r="F6" s="74" t="s">
        <v>1843</v>
      </c>
      <c r="H6" s="6">
        <v>44300</v>
      </c>
      <c r="I6" s="97">
        <v>2440.2399999999998</v>
      </c>
      <c r="J6" s="187" t="s">
        <v>165</v>
      </c>
      <c r="K6" s="188"/>
      <c r="L6" s="8" t="s">
        <v>1855</v>
      </c>
      <c r="M6" s="8" t="s">
        <v>268</v>
      </c>
    </row>
    <row r="7" spans="1:13" ht="15.75" x14ac:dyDescent="0.25">
      <c r="A7" s="12" t="s">
        <v>5</v>
      </c>
      <c r="B7" s="25">
        <f>B3+B4-B5</f>
        <v>61695.550000000017</v>
      </c>
      <c r="C7" s="11"/>
      <c r="D7" s="76">
        <v>44204</v>
      </c>
      <c r="E7" s="107">
        <v>550.88</v>
      </c>
      <c r="F7" s="86" t="s">
        <v>1844</v>
      </c>
      <c r="H7" s="6">
        <v>44302</v>
      </c>
      <c r="I7" s="97">
        <v>340</v>
      </c>
      <c r="J7" s="187" t="s">
        <v>46</v>
      </c>
      <c r="K7" s="188"/>
      <c r="L7" s="8" t="s">
        <v>1710</v>
      </c>
      <c r="M7" s="8" t="s">
        <v>268</v>
      </c>
    </row>
    <row r="8" spans="1:13" ht="15.75" x14ac:dyDescent="0.25">
      <c r="A8" s="2"/>
      <c r="B8" s="3"/>
      <c r="C8" s="11"/>
      <c r="D8" s="73">
        <v>44204</v>
      </c>
      <c r="E8" s="107">
        <v>176.2</v>
      </c>
      <c r="F8" s="74" t="s">
        <v>1425</v>
      </c>
      <c r="H8" s="6">
        <v>44307</v>
      </c>
      <c r="I8" s="97">
        <v>787.5</v>
      </c>
      <c r="J8" s="36" t="s">
        <v>1805</v>
      </c>
      <c r="K8" s="37"/>
      <c r="L8" s="8" t="s">
        <v>1804</v>
      </c>
      <c r="M8" s="8" t="s">
        <v>267</v>
      </c>
    </row>
    <row r="9" spans="1:13" ht="15.75" x14ac:dyDescent="0.25">
      <c r="A9" s="2"/>
      <c r="B9" s="3"/>
      <c r="C9" s="11"/>
      <c r="D9" s="73">
        <v>44246</v>
      </c>
      <c r="E9" s="107">
        <v>100</v>
      </c>
      <c r="F9" s="74" t="s">
        <v>1845</v>
      </c>
      <c r="G9" s="42"/>
      <c r="H9" s="6">
        <v>44308</v>
      </c>
      <c r="I9" s="97">
        <v>1207.81</v>
      </c>
      <c r="J9" s="36" t="s">
        <v>830</v>
      </c>
      <c r="K9" s="37"/>
      <c r="L9" s="8" t="s">
        <v>580</v>
      </c>
      <c r="M9" s="8" t="s">
        <v>268</v>
      </c>
    </row>
    <row r="10" spans="1:13" ht="15.75" x14ac:dyDescent="0.25">
      <c r="A10" s="2"/>
      <c r="B10" s="3"/>
      <c r="C10" s="11"/>
      <c r="D10" s="73">
        <v>44316</v>
      </c>
      <c r="E10" s="106">
        <v>600</v>
      </c>
      <c r="F10" s="74" t="s">
        <v>1864</v>
      </c>
      <c r="H10" s="6">
        <v>44309</v>
      </c>
      <c r="I10" s="97">
        <v>200</v>
      </c>
      <c r="J10" s="36" t="s">
        <v>724</v>
      </c>
      <c r="K10" s="37"/>
      <c r="L10" s="8" t="s">
        <v>1740</v>
      </c>
      <c r="M10" s="8" t="s">
        <v>267</v>
      </c>
    </row>
    <row r="11" spans="1:13" ht="15.75" x14ac:dyDescent="0.25">
      <c r="A11" s="2" t="s">
        <v>59</v>
      </c>
      <c r="B11" s="3">
        <f>(B7-B9)/2</f>
        <v>30847.775000000009</v>
      </c>
      <c r="C11" s="11"/>
      <c r="D11" s="138">
        <v>44317</v>
      </c>
      <c r="E11" s="137">
        <v>168.58</v>
      </c>
      <c r="F11" s="74" t="s">
        <v>1866</v>
      </c>
      <c r="H11" s="6">
        <v>44309</v>
      </c>
      <c r="I11" s="97">
        <v>30310.25</v>
      </c>
      <c r="J11" s="187" t="s">
        <v>1859</v>
      </c>
      <c r="K11" s="188"/>
      <c r="L11" s="8" t="s">
        <v>419</v>
      </c>
      <c r="M11" s="8" t="s">
        <v>268</v>
      </c>
    </row>
    <row r="12" spans="1:13" ht="15.75" x14ac:dyDescent="0.25">
      <c r="A12" s="2"/>
      <c r="B12" s="3"/>
      <c r="C12" s="11"/>
      <c r="D12" s="73">
        <v>44319</v>
      </c>
      <c r="E12" s="53">
        <v>100</v>
      </c>
      <c r="F12" s="88" t="s">
        <v>1887</v>
      </c>
      <c r="H12" s="6">
        <v>44314</v>
      </c>
      <c r="I12" s="97">
        <v>450</v>
      </c>
      <c r="J12" s="36" t="s">
        <v>46</v>
      </c>
      <c r="K12" s="37"/>
      <c r="L12" s="8" t="s">
        <v>1861</v>
      </c>
      <c r="M12" s="8" t="s">
        <v>268</v>
      </c>
    </row>
    <row r="13" spans="1:13" ht="15.75" x14ac:dyDescent="0.25">
      <c r="A13" s="2"/>
      <c r="B13" s="3"/>
      <c r="C13" s="11"/>
      <c r="D13" s="73"/>
      <c r="E13" s="53"/>
      <c r="F13" s="88"/>
      <c r="H13" s="6">
        <v>44314</v>
      </c>
      <c r="I13" s="120">
        <v>831.43</v>
      </c>
      <c r="J13" s="36" t="s">
        <v>830</v>
      </c>
      <c r="K13" s="37"/>
      <c r="L13" s="36" t="s">
        <v>1871</v>
      </c>
      <c r="M13" s="8" t="s">
        <v>268</v>
      </c>
    </row>
    <row r="14" spans="1:13" ht="16.5" thickBot="1" x14ac:dyDescent="0.3">
      <c r="A14" s="2"/>
      <c r="B14" s="3"/>
      <c r="C14" s="11"/>
      <c r="D14" s="78"/>
      <c r="E14" s="79"/>
      <c r="F14" s="89"/>
      <c r="H14" s="6">
        <v>44314</v>
      </c>
      <c r="I14" s="120">
        <v>508.25</v>
      </c>
      <c r="J14" s="36" t="s">
        <v>830</v>
      </c>
      <c r="K14" s="37"/>
      <c r="L14" s="36" t="s">
        <v>1871</v>
      </c>
      <c r="M14" s="8" t="s">
        <v>268</v>
      </c>
    </row>
    <row r="15" spans="1:13" ht="16.5" thickBot="1" x14ac:dyDescent="0.3">
      <c r="A15" s="2"/>
      <c r="B15" s="3"/>
      <c r="C15" s="11"/>
      <c r="D15" s="80" t="s">
        <v>23</v>
      </c>
      <c r="E15" s="81">
        <f>SUM(E4:E14)</f>
        <v>2023.1899999999998</v>
      </c>
      <c r="F15" s="82"/>
      <c r="H15" s="6">
        <v>44314</v>
      </c>
      <c r="I15" s="120">
        <v>606.96</v>
      </c>
      <c r="J15" s="187" t="s">
        <v>830</v>
      </c>
      <c r="K15" s="188"/>
      <c r="L15" s="36" t="s">
        <v>1787</v>
      </c>
      <c r="M15" s="8" t="s">
        <v>268</v>
      </c>
    </row>
    <row r="16" spans="1:13" ht="16.5" thickBot="1" x14ac:dyDescent="0.3">
      <c r="A16" s="2"/>
      <c r="B16" s="2"/>
      <c r="C16" s="1"/>
      <c r="D16" s="221" t="s">
        <v>12</v>
      </c>
      <c r="E16" s="222"/>
      <c r="F16" s="223"/>
      <c r="H16" s="6">
        <v>44314</v>
      </c>
      <c r="I16" s="120">
        <v>2000</v>
      </c>
      <c r="J16" s="36" t="s">
        <v>46</v>
      </c>
      <c r="K16" s="37"/>
      <c r="L16" s="8" t="s">
        <v>1862</v>
      </c>
      <c r="M16" s="8" t="s">
        <v>268</v>
      </c>
    </row>
    <row r="17" spans="1:14" ht="15.75" x14ac:dyDescent="0.25">
      <c r="A17" s="198" t="s">
        <v>56</v>
      </c>
      <c r="B17" s="198"/>
      <c r="C17" s="1"/>
      <c r="D17" s="83"/>
      <c r="E17" s="120">
        <v>831.43</v>
      </c>
      <c r="F17" s="85" t="s">
        <v>1871</v>
      </c>
      <c r="H17" s="6">
        <v>44319</v>
      </c>
      <c r="I17" s="58">
        <v>3000</v>
      </c>
      <c r="J17" s="260"/>
      <c r="K17" s="261"/>
      <c r="L17" s="8" t="s">
        <v>1867</v>
      </c>
      <c r="M17" s="8" t="s">
        <v>267</v>
      </c>
    </row>
    <row r="18" spans="1:14" ht="15.75" x14ac:dyDescent="0.25">
      <c r="A18" s="2"/>
      <c r="B18" s="3"/>
      <c r="C18" s="1"/>
      <c r="D18" s="73"/>
      <c r="E18" s="56">
        <v>500</v>
      </c>
      <c r="F18" s="75" t="s">
        <v>1846</v>
      </c>
      <c r="G18" s="121"/>
      <c r="H18" s="6">
        <v>44319</v>
      </c>
      <c r="I18" s="97">
        <v>6810.22</v>
      </c>
      <c r="J18" s="36" t="s">
        <v>830</v>
      </c>
      <c r="K18" s="37"/>
      <c r="L18" s="8" t="s">
        <v>317</v>
      </c>
      <c r="M18" s="8" t="s">
        <v>268</v>
      </c>
    </row>
    <row r="19" spans="1:14" ht="15.75" x14ac:dyDescent="0.25">
      <c r="A19" s="2" t="s">
        <v>57</v>
      </c>
      <c r="B19" s="3" t="e">
        <f ca="1">B11-E15+M41</f>
        <v>#NAME?</v>
      </c>
      <c r="C19" s="1"/>
      <c r="D19" s="76"/>
      <c r="E19" s="120">
        <v>508.25</v>
      </c>
      <c r="F19" s="36" t="s">
        <v>1871</v>
      </c>
      <c r="H19" s="6">
        <v>44321</v>
      </c>
      <c r="I19" s="97">
        <v>500</v>
      </c>
      <c r="J19" s="182"/>
      <c r="K19" s="183"/>
      <c r="L19" s="8" t="s">
        <v>1962</v>
      </c>
      <c r="M19" s="8" t="s">
        <v>267</v>
      </c>
    </row>
    <row r="20" spans="1:14" ht="15.75" x14ac:dyDescent="0.25">
      <c r="A20" s="2" t="s">
        <v>12</v>
      </c>
      <c r="B20" s="3" t="e">
        <f ca="1">B11+G4+M40-E24</f>
        <v>#NAME?</v>
      </c>
      <c r="C20" s="1"/>
      <c r="D20" s="76"/>
      <c r="E20" s="120">
        <v>606.96</v>
      </c>
      <c r="F20" s="36" t="s">
        <v>305</v>
      </c>
      <c r="H20" s="6">
        <v>44322</v>
      </c>
      <c r="I20" s="97">
        <v>17672.29</v>
      </c>
      <c r="J20" s="36" t="s">
        <v>830</v>
      </c>
      <c r="K20" s="37"/>
      <c r="L20" s="8" t="s">
        <v>419</v>
      </c>
      <c r="M20" s="8" t="s">
        <v>268</v>
      </c>
    </row>
    <row r="21" spans="1:14" ht="15.75" x14ac:dyDescent="0.25">
      <c r="A21" s="2"/>
      <c r="B21" s="2"/>
      <c r="C21" s="1"/>
      <c r="D21" s="76"/>
      <c r="E21" s="120">
        <v>2000</v>
      </c>
      <c r="F21" s="36" t="s">
        <v>46</v>
      </c>
      <c r="H21" s="6">
        <v>44322</v>
      </c>
      <c r="I21" s="97">
        <v>1000</v>
      </c>
      <c r="J21" s="36" t="s">
        <v>46</v>
      </c>
      <c r="K21" s="37"/>
      <c r="L21" s="8" t="s">
        <v>2231</v>
      </c>
      <c r="M21" s="8" t="s">
        <v>268</v>
      </c>
    </row>
    <row r="22" spans="1:14" ht="15.75" x14ac:dyDescent="0.25">
      <c r="A22" s="2"/>
      <c r="B22" s="2"/>
      <c r="C22" s="1"/>
      <c r="D22" s="73"/>
      <c r="E22" s="4">
        <v>69.48</v>
      </c>
      <c r="F22" s="74" t="s">
        <v>1865</v>
      </c>
      <c r="H22" s="6">
        <v>44322</v>
      </c>
      <c r="I22" s="97">
        <v>1000</v>
      </c>
      <c r="J22" s="36" t="s">
        <v>1869</v>
      </c>
      <c r="K22" s="37"/>
      <c r="L22" s="8" t="s">
        <v>1870</v>
      </c>
      <c r="M22" s="8" t="s">
        <v>267</v>
      </c>
    </row>
    <row r="23" spans="1:14" ht="16.5" thickBot="1" x14ac:dyDescent="0.3">
      <c r="A23" s="1"/>
      <c r="B23" s="1"/>
      <c r="C23" s="1"/>
      <c r="D23" s="78"/>
      <c r="E23" s="84">
        <v>2100</v>
      </c>
      <c r="F23" s="85" t="s">
        <v>1891</v>
      </c>
      <c r="G23" s="1"/>
      <c r="H23" s="6">
        <v>44323</v>
      </c>
      <c r="I23" s="58">
        <v>500</v>
      </c>
      <c r="J23" s="187" t="s">
        <v>1874</v>
      </c>
      <c r="K23" s="188"/>
      <c r="L23" s="8" t="s">
        <v>1873</v>
      </c>
      <c r="M23" s="8" t="s">
        <v>268</v>
      </c>
      <c r="N23" s="140" t="s">
        <v>1890</v>
      </c>
    </row>
    <row r="24" spans="1:14" ht="16.5" thickBot="1" x14ac:dyDescent="0.3">
      <c r="A24" s="1"/>
      <c r="B24" s="1"/>
      <c r="C24" s="1"/>
      <c r="D24" s="80" t="s">
        <v>23</v>
      </c>
      <c r="E24" s="81">
        <f>SUM(E17:E23)</f>
        <v>6616.119999999999</v>
      </c>
      <c r="F24" s="82"/>
      <c r="G24" s="77"/>
      <c r="H24" s="6">
        <v>44326</v>
      </c>
      <c r="I24" s="97">
        <v>100</v>
      </c>
      <c r="J24" s="187"/>
      <c r="K24" s="188"/>
      <c r="L24" s="8"/>
      <c r="M24" s="8"/>
    </row>
    <row r="25" spans="1:14" ht="15.75" x14ac:dyDescent="0.25">
      <c r="A25" s="1"/>
      <c r="B25" s="1"/>
      <c r="C25" s="1"/>
      <c r="G25" s="1"/>
      <c r="H25" s="6">
        <v>44326</v>
      </c>
      <c r="I25" s="58">
        <v>300</v>
      </c>
      <c r="J25" s="187"/>
      <c r="K25" s="188"/>
      <c r="L25" s="8" t="s">
        <v>1889</v>
      </c>
      <c r="M25" s="8" t="s">
        <v>267</v>
      </c>
    </row>
    <row r="26" spans="1:14" ht="15.75" x14ac:dyDescent="0.25">
      <c r="A26" s="1"/>
      <c r="B26" s="1"/>
      <c r="C26" s="1"/>
      <c r="D26" s="17"/>
      <c r="E26" s="17"/>
      <c r="F26" s="1"/>
      <c r="G26" s="1"/>
      <c r="H26" s="6">
        <v>44326</v>
      </c>
      <c r="I26" s="97">
        <v>976.1</v>
      </c>
      <c r="J26" s="187"/>
      <c r="K26" s="188"/>
      <c r="L26" s="8"/>
      <c r="M26" s="8" t="s">
        <v>267</v>
      </c>
    </row>
    <row r="27" spans="1:14" ht="18.75" x14ac:dyDescent="0.3">
      <c r="A27" s="17"/>
      <c r="B27" s="17"/>
      <c r="C27" s="17"/>
      <c r="D27" s="17"/>
      <c r="E27" s="17"/>
      <c r="F27" s="9"/>
      <c r="G27" s="9"/>
      <c r="H27" s="6">
        <v>44326</v>
      </c>
      <c r="I27" s="120">
        <v>2100</v>
      </c>
      <c r="J27" s="187" t="s">
        <v>46</v>
      </c>
      <c r="K27" s="188"/>
      <c r="L27" s="8" t="s">
        <v>1891</v>
      </c>
      <c r="M27" s="8" t="s">
        <v>268</v>
      </c>
    </row>
    <row r="28" spans="1:14" ht="16.5" thickBot="1" x14ac:dyDescent="0.3">
      <c r="A28" s="63"/>
      <c r="B28" s="63"/>
      <c r="C28" s="63"/>
      <c r="D28" s="63"/>
      <c r="E28" s="63"/>
      <c r="F28" s="63"/>
      <c r="H28" s="6" t="s">
        <v>23</v>
      </c>
      <c r="I28" s="193">
        <f>SUM(I4:I27)</f>
        <v>74932.800000000017</v>
      </c>
      <c r="J28" s="194"/>
      <c r="K28" s="194"/>
      <c r="L28" s="194"/>
      <c r="M28" s="195"/>
    </row>
    <row r="29" spans="1:14" ht="16.5" thickBot="1" x14ac:dyDescent="0.3">
      <c r="A29" s="63"/>
      <c r="B29" s="63"/>
      <c r="C29" s="63"/>
      <c r="D29" s="258" t="s">
        <v>1744</v>
      </c>
      <c r="E29" s="259"/>
      <c r="F29" s="64" t="s">
        <v>1851</v>
      </c>
      <c r="G29" s="65" t="s">
        <v>1748</v>
      </c>
      <c r="H29" s="66" t="s">
        <v>1749</v>
      </c>
      <c r="J29" s="180" t="s">
        <v>69</v>
      </c>
      <c r="K29" s="180"/>
      <c r="L29" s="180" t="s">
        <v>69</v>
      </c>
      <c r="M29" s="180"/>
    </row>
    <row r="30" spans="1:14" ht="15" customHeight="1" x14ac:dyDescent="0.25">
      <c r="A30" s="63"/>
      <c r="B30" s="63"/>
      <c r="C30" s="63"/>
      <c r="D30" s="59" t="s">
        <v>1745</v>
      </c>
      <c r="E30" s="93"/>
      <c r="F30" s="94">
        <v>652</v>
      </c>
      <c r="G30" s="95" t="e">
        <f ca="1">gfSumIfColor(I3:I26,gfCelColorName(E30))</f>
        <v>#NAME?</v>
      </c>
      <c r="H30" s="96" t="e">
        <f ca="1">F30+G30</f>
        <v>#NAME?</v>
      </c>
      <c r="J30" s="262" t="s">
        <v>65</v>
      </c>
      <c r="K30" s="262"/>
      <c r="L30" s="180" t="s">
        <v>67</v>
      </c>
      <c r="M30" s="180"/>
    </row>
    <row r="31" spans="1:14" ht="16.5" thickBot="1" x14ac:dyDescent="0.3">
      <c r="A31" s="17"/>
      <c r="B31" s="29"/>
      <c r="C31" s="29"/>
      <c r="D31" s="60" t="s">
        <v>1746</v>
      </c>
      <c r="E31" s="61"/>
      <c r="F31" s="61">
        <v>4632</v>
      </c>
      <c r="G31" s="69" t="e">
        <f ca="1">gfSumIfColor(I3:I26,gfCelColorName(E31))</f>
        <v>#NAME?</v>
      </c>
      <c r="H31" s="67" t="e">
        <f ca="1">F31+G31</f>
        <v>#NAME?</v>
      </c>
      <c r="L31" s="180"/>
      <c r="M31" s="180"/>
    </row>
    <row r="32" spans="1:14" ht="16.5" thickBot="1" x14ac:dyDescent="0.3">
      <c r="A32" s="17"/>
      <c r="B32" s="17"/>
      <c r="C32" s="17"/>
      <c r="D32" s="17"/>
      <c r="E32" s="17"/>
      <c r="F32" s="72">
        <f>F30+F31</f>
        <v>5284</v>
      </c>
      <c r="G32" s="71" t="e">
        <f ca="1">G30+G31</f>
        <v>#NAME?</v>
      </c>
      <c r="H32" s="68" t="e">
        <f ca="1">H30+H31</f>
        <v>#NAME?</v>
      </c>
      <c r="L32" s="18"/>
      <c r="M32" s="18"/>
    </row>
    <row r="33" spans="1:13" x14ac:dyDescent="0.25">
      <c r="A33" s="18"/>
      <c r="B33" s="18"/>
      <c r="C33" s="18"/>
      <c r="D33" s="18"/>
      <c r="E33" s="18"/>
      <c r="F33" s="18"/>
      <c r="G33" s="70"/>
      <c r="L33" s="18"/>
      <c r="M33" s="18"/>
    </row>
    <row r="34" spans="1:13" ht="18.75" x14ac:dyDescent="0.3">
      <c r="H34" s="184" t="s">
        <v>1875</v>
      </c>
      <c r="I34" s="184"/>
      <c r="J34" s="184"/>
      <c r="K34" s="184"/>
      <c r="L34" s="180"/>
      <c r="M34" s="180"/>
    </row>
    <row r="35" spans="1:13" ht="15.75" x14ac:dyDescent="0.25">
      <c r="F35" t="s">
        <v>2090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F36" s="57">
        <f>SUM(I37:I41,I44:I52,I54,I58,I60)</f>
        <v>5298.6299999999992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H37" s="118">
        <v>44138</v>
      </c>
      <c r="I37" s="99">
        <v>358.33</v>
      </c>
      <c r="J37" s="257" t="s">
        <v>1829</v>
      </c>
      <c r="K37" s="257"/>
      <c r="L37" s="18"/>
      <c r="M37" s="18"/>
    </row>
    <row r="38" spans="1:13" ht="15.75" x14ac:dyDescent="0.25">
      <c r="H38" s="118">
        <v>44160</v>
      </c>
      <c r="I38" s="99">
        <v>411.97</v>
      </c>
      <c r="J38" s="257" t="s">
        <v>1830</v>
      </c>
      <c r="K38" s="257"/>
      <c r="L38" s="180"/>
      <c r="M38" s="180"/>
    </row>
    <row r="39" spans="1:13" ht="15.75" x14ac:dyDescent="0.25">
      <c r="H39" s="118">
        <v>44168</v>
      </c>
      <c r="I39" s="99">
        <v>750</v>
      </c>
      <c r="J39" s="257" t="s">
        <v>1831</v>
      </c>
      <c r="K39" s="257"/>
      <c r="L39" s="180"/>
      <c r="M39" s="180"/>
    </row>
    <row r="40" spans="1:13" ht="15.75" x14ac:dyDescent="0.25">
      <c r="H40" s="118">
        <v>44534</v>
      </c>
      <c r="I40" s="99">
        <v>358.1</v>
      </c>
      <c r="J40" s="253" t="s">
        <v>1832</v>
      </c>
      <c r="K40" s="254"/>
      <c r="L40" s="100" t="s">
        <v>1754</v>
      </c>
      <c r="M40" s="102" t="e">
        <f ca="1">gfSumIfColor(I36:I75,gfCelColorName(L40))</f>
        <v>#NAME?</v>
      </c>
    </row>
    <row r="41" spans="1:13" ht="15.75" x14ac:dyDescent="0.25">
      <c r="H41" s="118">
        <v>44254</v>
      </c>
      <c r="I41" s="109">
        <v>195.91</v>
      </c>
      <c r="J41" s="255" t="s">
        <v>1833</v>
      </c>
      <c r="K41" s="256"/>
      <c r="L41" s="105" t="s">
        <v>1756</v>
      </c>
      <c r="M41" s="122" t="e">
        <f ca="1">gfSumIfColor(I36:I75,gfCelColorName(L41))</f>
        <v>#NAME?</v>
      </c>
    </row>
    <row r="42" spans="1:13" ht="15.75" x14ac:dyDescent="0.25">
      <c r="G42" s="112"/>
      <c r="H42" s="118"/>
      <c r="I42" s="109">
        <v>940</v>
      </c>
      <c r="J42" s="253" t="s">
        <v>1719</v>
      </c>
      <c r="K42" s="254"/>
      <c r="L42" s="110" t="s">
        <v>1759</v>
      </c>
      <c r="M42" s="102" t="e">
        <f ca="1">gfSumIfColor(I36:I75,gfCelColorName(E30))</f>
        <v>#NAME?</v>
      </c>
    </row>
    <row r="43" spans="1:13" ht="18" x14ac:dyDescent="0.4">
      <c r="H43" s="118"/>
      <c r="I43" s="139">
        <v>81.900000000000006</v>
      </c>
      <c r="J43" s="255" t="s">
        <v>1711</v>
      </c>
      <c r="K43" s="256"/>
      <c r="L43" s="111" t="s">
        <v>1760</v>
      </c>
      <c r="M43" s="113" t="e">
        <f ca="1">gfSumIfColor(I36:I75,gfCelColorName(E31))</f>
        <v>#NAME?</v>
      </c>
    </row>
    <row r="44" spans="1:13" ht="15.75" x14ac:dyDescent="0.25">
      <c r="H44" s="118">
        <v>44560</v>
      </c>
      <c r="I44" s="99">
        <v>281.10000000000002</v>
      </c>
      <c r="J44" s="253" t="s">
        <v>1834</v>
      </c>
      <c r="K44" s="254"/>
    </row>
    <row r="45" spans="1:13" ht="15.75" x14ac:dyDescent="0.25">
      <c r="H45" s="118">
        <v>44236</v>
      </c>
      <c r="I45" s="99">
        <v>167.2</v>
      </c>
      <c r="J45" s="253" t="s">
        <v>1836</v>
      </c>
      <c r="K45" s="254"/>
    </row>
    <row r="46" spans="1:13" ht="15.75" x14ac:dyDescent="0.25">
      <c r="H46" s="118">
        <v>44218</v>
      </c>
      <c r="I46" s="99">
        <v>316.77</v>
      </c>
      <c r="J46" s="253" t="s">
        <v>1834</v>
      </c>
      <c r="K46" s="254"/>
    </row>
    <row r="47" spans="1:13" ht="15.75" x14ac:dyDescent="0.25">
      <c r="H47" s="118">
        <v>44266</v>
      </c>
      <c r="I47" s="109">
        <v>241</v>
      </c>
      <c r="J47" s="255" t="s">
        <v>1839</v>
      </c>
      <c r="K47" s="256"/>
    </row>
    <row r="48" spans="1:13" ht="15.75" x14ac:dyDescent="0.25">
      <c r="H48" s="118">
        <v>44223</v>
      </c>
      <c r="I48" s="99">
        <v>466.52</v>
      </c>
      <c r="J48" s="257" t="s">
        <v>1835</v>
      </c>
      <c r="K48" s="257"/>
    </row>
    <row r="49" spans="7:11" ht="15.75" x14ac:dyDescent="0.25">
      <c r="H49" s="118">
        <v>44133</v>
      </c>
      <c r="I49" s="104">
        <v>150</v>
      </c>
      <c r="J49" s="255" t="s">
        <v>1837</v>
      </c>
      <c r="K49" s="256"/>
    </row>
    <row r="50" spans="7:11" ht="15.75" x14ac:dyDescent="0.25">
      <c r="H50" s="118">
        <v>44133</v>
      </c>
      <c r="I50" s="104">
        <v>666.7</v>
      </c>
      <c r="J50" s="255" t="s">
        <v>1837</v>
      </c>
      <c r="K50" s="256"/>
    </row>
    <row r="51" spans="7:11" ht="15.75" x14ac:dyDescent="0.25">
      <c r="H51" s="118">
        <v>44252</v>
      </c>
      <c r="I51" s="104">
        <v>108.91</v>
      </c>
      <c r="J51" s="255" t="s">
        <v>1838</v>
      </c>
      <c r="K51" s="256"/>
    </row>
    <row r="52" spans="7:11" ht="15.75" x14ac:dyDescent="0.25">
      <c r="H52" s="118">
        <v>44267</v>
      </c>
      <c r="I52" s="109">
        <v>196.54</v>
      </c>
      <c r="J52" s="255" t="s">
        <v>1840</v>
      </c>
      <c r="K52" s="256"/>
    </row>
    <row r="53" spans="7:11" ht="15.75" x14ac:dyDescent="0.25">
      <c r="H53" s="118">
        <v>44302</v>
      </c>
      <c r="I53" s="109">
        <v>121.89</v>
      </c>
      <c r="J53" s="257" t="s">
        <v>1800</v>
      </c>
      <c r="K53" s="257"/>
    </row>
    <row r="54" spans="7:11" ht="15.75" x14ac:dyDescent="0.25">
      <c r="H54" s="118">
        <v>44279</v>
      </c>
      <c r="I54" s="109">
        <v>148.85</v>
      </c>
      <c r="J54" s="253" t="s">
        <v>1841</v>
      </c>
      <c r="K54" s="254"/>
    </row>
    <row r="55" spans="7:11" ht="15.75" x14ac:dyDescent="0.25">
      <c r="H55" s="118">
        <v>44306</v>
      </c>
      <c r="I55" s="109">
        <v>2500</v>
      </c>
      <c r="J55" s="253" t="s">
        <v>1857</v>
      </c>
      <c r="K55" s="254"/>
    </row>
    <row r="56" spans="7:11" ht="15.75" x14ac:dyDescent="0.25">
      <c r="H56" s="118">
        <v>44308</v>
      </c>
      <c r="I56" s="109">
        <v>180</v>
      </c>
      <c r="J56" s="255" t="s">
        <v>1856</v>
      </c>
      <c r="K56" s="256"/>
    </row>
    <row r="57" spans="7:11" ht="15.75" x14ac:dyDescent="0.25">
      <c r="H57" s="118">
        <v>44308</v>
      </c>
      <c r="I57" s="109">
        <v>975.88</v>
      </c>
      <c r="J57" s="255" t="s">
        <v>1858</v>
      </c>
      <c r="K57" s="256"/>
    </row>
    <row r="58" spans="7:11" ht="15.75" x14ac:dyDescent="0.25">
      <c r="H58" s="118">
        <v>44313</v>
      </c>
      <c r="I58" s="109">
        <v>229</v>
      </c>
      <c r="J58" s="257" t="s">
        <v>1860</v>
      </c>
      <c r="K58" s="257"/>
    </row>
    <row r="59" spans="7:11" ht="15.75" x14ac:dyDescent="0.25">
      <c r="H59" s="118">
        <v>44316</v>
      </c>
      <c r="I59" s="109">
        <v>152.19999999999999</v>
      </c>
      <c r="J59" s="255" t="s">
        <v>1863</v>
      </c>
      <c r="K59" s="256"/>
    </row>
    <row r="60" spans="7:11" ht="15.75" x14ac:dyDescent="0.25">
      <c r="G60" s="112"/>
      <c r="H60" s="118">
        <v>44320</v>
      </c>
      <c r="I60" s="109">
        <v>251.73</v>
      </c>
      <c r="J60" s="255" t="s">
        <v>1868</v>
      </c>
      <c r="K60" s="256"/>
    </row>
    <row r="61" spans="7:11" ht="15.75" x14ac:dyDescent="0.25">
      <c r="H61" s="118">
        <v>44322</v>
      </c>
      <c r="I61" s="97">
        <v>791.75</v>
      </c>
      <c r="J61" s="255" t="s">
        <v>1872</v>
      </c>
      <c r="K61" s="256"/>
    </row>
    <row r="62" spans="7:11" ht="15.75" x14ac:dyDescent="0.25">
      <c r="H62" s="118">
        <v>44322</v>
      </c>
      <c r="I62" s="109">
        <v>56</v>
      </c>
      <c r="J62" s="257" t="s">
        <v>1888</v>
      </c>
      <c r="K62" s="257"/>
    </row>
    <row r="63" spans="7:11" ht="15.75" x14ac:dyDescent="0.25">
      <c r="H63" s="118">
        <v>44308</v>
      </c>
      <c r="I63" s="109">
        <v>39</v>
      </c>
      <c r="J63" s="257" t="s">
        <v>1888</v>
      </c>
      <c r="K63" s="257"/>
    </row>
    <row r="64" spans="7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ht="15.75" x14ac:dyDescent="0.25">
      <c r="H77" s="118"/>
      <c r="I77" s="53"/>
      <c r="J77" s="253"/>
      <c r="K77" s="254"/>
    </row>
    <row r="78" spans="8:11" ht="15.75" x14ac:dyDescent="0.25">
      <c r="H78" s="118"/>
      <c r="I78" s="53"/>
      <c r="J78" s="253"/>
      <c r="K78" s="254"/>
    </row>
    <row r="79" spans="8:11" x14ac:dyDescent="0.25">
      <c r="I79" s="57">
        <f>SUM(I36:I69)</f>
        <v>13237.250000000002</v>
      </c>
    </row>
  </sheetData>
  <mergeCells count="77">
    <mergeCell ref="J76:K76"/>
    <mergeCell ref="J77:K77"/>
    <mergeCell ref="J78:K78"/>
    <mergeCell ref="J45:K45"/>
    <mergeCell ref="J70:K70"/>
    <mergeCell ref="J71:K71"/>
    <mergeCell ref="J72:K72"/>
    <mergeCell ref="J73:K73"/>
    <mergeCell ref="J74:K74"/>
    <mergeCell ref="J75:K75"/>
    <mergeCell ref="J64:K64"/>
    <mergeCell ref="J65:K65"/>
    <mergeCell ref="J66:K66"/>
    <mergeCell ref="J67:K67"/>
    <mergeCell ref="J68:K68"/>
    <mergeCell ref="J69:K69"/>
    <mergeCell ref="J63:K63"/>
    <mergeCell ref="J52:K52"/>
    <mergeCell ref="J53:K53"/>
    <mergeCell ref="J54:K54"/>
    <mergeCell ref="J55:K55"/>
    <mergeCell ref="J56:K56"/>
    <mergeCell ref="J57:K57"/>
    <mergeCell ref="J58:K58"/>
    <mergeCell ref="J59:K59"/>
    <mergeCell ref="J60:K60"/>
    <mergeCell ref="J61:K61"/>
    <mergeCell ref="J62:K62"/>
    <mergeCell ref="J51:K51"/>
    <mergeCell ref="J40:K40"/>
    <mergeCell ref="J41:K41"/>
    <mergeCell ref="J42:K42"/>
    <mergeCell ref="J43:K43"/>
    <mergeCell ref="J44:K44"/>
    <mergeCell ref="J46:K46"/>
    <mergeCell ref="J47:K47"/>
    <mergeCell ref="J48:K48"/>
    <mergeCell ref="J49:K49"/>
    <mergeCell ref="J50:K50"/>
    <mergeCell ref="J36:K36"/>
    <mergeCell ref="J37:K37"/>
    <mergeCell ref="J38:K38"/>
    <mergeCell ref="L38:M38"/>
    <mergeCell ref="J39:K39"/>
    <mergeCell ref="L39:M39"/>
    <mergeCell ref="J35:K35"/>
    <mergeCell ref="L35:M35"/>
    <mergeCell ref="J24:K24"/>
    <mergeCell ref="J25:K25"/>
    <mergeCell ref="J26:K26"/>
    <mergeCell ref="J30:K30"/>
    <mergeCell ref="L30:M30"/>
    <mergeCell ref="L31:M31"/>
    <mergeCell ref="H34:K34"/>
    <mergeCell ref="L34:M34"/>
    <mergeCell ref="I28:M28"/>
    <mergeCell ref="J27:K27"/>
    <mergeCell ref="D29:E29"/>
    <mergeCell ref="J29:K29"/>
    <mergeCell ref="L29:M29"/>
    <mergeCell ref="J3:K3"/>
    <mergeCell ref="J5:K5"/>
    <mergeCell ref="J6:K6"/>
    <mergeCell ref="J7:K7"/>
    <mergeCell ref="D16:F16"/>
    <mergeCell ref="J11:K11"/>
    <mergeCell ref="J15:K15"/>
    <mergeCell ref="J17:K17"/>
    <mergeCell ref="J19:K19"/>
    <mergeCell ref="J23:K23"/>
    <mergeCell ref="A17:B17"/>
    <mergeCell ref="A1:B1"/>
    <mergeCell ref="D1:F1"/>
    <mergeCell ref="H1:M1"/>
    <mergeCell ref="A2:B2"/>
    <mergeCell ref="D2:F2"/>
    <mergeCell ref="J2:K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Planilha63"/>
  <dimension ref="A1:M79"/>
  <sheetViews>
    <sheetView topLeftCell="C5" zoomScale="85" zoomScaleNormal="85" workbookViewId="0">
      <selection activeCell="L15" sqref="L15"/>
    </sheetView>
  </sheetViews>
  <sheetFormatPr defaultRowHeight="15" x14ac:dyDescent="0.25"/>
  <cols>
    <col min="1" max="1" width="20.7109375" customWidth="1"/>
    <col min="2" max="2" width="19.7109375" customWidth="1"/>
    <col min="3" max="3" width="11.2851562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1415</v>
      </c>
      <c r="B1" s="184"/>
      <c r="C1" s="10"/>
      <c r="D1" s="229" t="s">
        <v>55</v>
      </c>
      <c r="E1" s="230"/>
      <c r="F1" s="231"/>
      <c r="H1" s="184" t="s">
        <v>1876</v>
      </c>
      <c r="I1" s="184"/>
      <c r="J1" s="184"/>
      <c r="K1" s="184"/>
      <c r="L1" s="184"/>
      <c r="M1" s="184"/>
    </row>
    <row r="2" spans="1:13" ht="19.5" thickBot="1" x14ac:dyDescent="0.35">
      <c r="A2" s="184" t="s">
        <v>115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128434</v>
      </c>
      <c r="C3" s="11"/>
      <c r="D3" s="91" t="s">
        <v>1</v>
      </c>
      <c r="E3" s="91" t="s">
        <v>6</v>
      </c>
      <c r="F3" s="92" t="s">
        <v>13</v>
      </c>
      <c r="H3" s="6">
        <v>44329</v>
      </c>
      <c r="I3" s="97">
        <v>1000</v>
      </c>
      <c r="J3" s="187" t="s">
        <v>1895</v>
      </c>
      <c r="K3" s="188"/>
      <c r="L3" s="8" t="s">
        <v>1894</v>
      </c>
      <c r="M3" s="8" t="s">
        <v>267</v>
      </c>
    </row>
    <row r="4" spans="1:13" ht="15.75" x14ac:dyDescent="0.25">
      <c r="A4" s="2"/>
      <c r="B4" s="3"/>
      <c r="C4" s="11"/>
      <c r="D4" s="73">
        <v>44203</v>
      </c>
      <c r="E4" s="107">
        <v>92.66</v>
      </c>
      <c r="F4" s="74" t="s">
        <v>1879</v>
      </c>
      <c r="G4" s="114" t="e">
        <f ca="1">gfSumIfColor(E4:E10,gfCelColorName(E4))</f>
        <v>#NAME?</v>
      </c>
      <c r="H4" s="6">
        <v>44330</v>
      </c>
      <c r="I4" s="97">
        <v>500</v>
      </c>
      <c r="J4" s="36" t="s">
        <v>139</v>
      </c>
      <c r="K4" s="37"/>
      <c r="L4" s="8" t="s">
        <v>1850</v>
      </c>
      <c r="M4" s="8" t="s">
        <v>268</v>
      </c>
    </row>
    <row r="5" spans="1:13" ht="15.75" x14ac:dyDescent="0.25">
      <c r="A5" s="2" t="s">
        <v>4</v>
      </c>
      <c r="B5" s="3">
        <f>SUM(I36:I67)</f>
        <v>7786.75</v>
      </c>
      <c r="C5" s="11"/>
      <c r="D5" s="76">
        <v>44204</v>
      </c>
      <c r="E5" s="107">
        <v>550.88</v>
      </c>
      <c r="F5" s="86" t="s">
        <v>1880</v>
      </c>
      <c r="H5" s="6">
        <v>44333</v>
      </c>
      <c r="I5" s="97">
        <v>495</v>
      </c>
      <c r="J5" s="187" t="s">
        <v>788</v>
      </c>
      <c r="K5" s="188"/>
      <c r="L5" s="8" t="s">
        <v>926</v>
      </c>
      <c r="M5" s="8" t="s">
        <v>268</v>
      </c>
    </row>
    <row r="6" spans="1:13" ht="15.75" x14ac:dyDescent="0.25">
      <c r="A6" s="2"/>
      <c r="B6" s="3"/>
      <c r="C6" s="11"/>
      <c r="D6" s="73">
        <v>44204</v>
      </c>
      <c r="E6" s="107">
        <v>176.2</v>
      </c>
      <c r="F6" s="74" t="s">
        <v>1447</v>
      </c>
      <c r="H6" s="6">
        <v>44334</v>
      </c>
      <c r="I6" s="97">
        <v>500</v>
      </c>
      <c r="J6" s="187" t="s">
        <v>875</v>
      </c>
      <c r="K6" s="188"/>
      <c r="L6" s="8" t="s">
        <v>786</v>
      </c>
      <c r="M6" s="8" t="s">
        <v>268</v>
      </c>
    </row>
    <row r="7" spans="1:13" ht="15.75" x14ac:dyDescent="0.25">
      <c r="A7" s="12" t="s">
        <v>5</v>
      </c>
      <c r="B7" s="25">
        <f>B3+B4-B5</f>
        <v>120647.25</v>
      </c>
      <c r="C7" s="11"/>
      <c r="D7" s="73">
        <v>44246</v>
      </c>
      <c r="E7" s="107">
        <v>100</v>
      </c>
      <c r="F7" s="74" t="s">
        <v>1881</v>
      </c>
      <c r="H7" s="6">
        <v>44334</v>
      </c>
      <c r="I7" s="58">
        <v>1000</v>
      </c>
      <c r="J7" s="187" t="s">
        <v>165</v>
      </c>
      <c r="K7" s="188"/>
      <c r="L7" s="8" t="s">
        <v>1896</v>
      </c>
      <c r="M7" s="8" t="s">
        <v>267</v>
      </c>
    </row>
    <row r="8" spans="1:13" ht="15.75" x14ac:dyDescent="0.25">
      <c r="A8" s="2"/>
      <c r="B8" s="3"/>
      <c r="C8" s="11"/>
      <c r="D8" s="138"/>
      <c r="E8" s="137">
        <v>800</v>
      </c>
      <c r="F8" s="74" t="s">
        <v>1909</v>
      </c>
      <c r="H8" s="6">
        <v>44337</v>
      </c>
      <c r="I8" s="97">
        <v>2000</v>
      </c>
      <c r="J8" s="36" t="s">
        <v>290</v>
      </c>
      <c r="K8" s="37"/>
      <c r="L8" s="8" t="s">
        <v>1455</v>
      </c>
      <c r="M8" s="8" t="s">
        <v>268</v>
      </c>
    </row>
    <row r="9" spans="1:13" ht="15.75" x14ac:dyDescent="0.25">
      <c r="A9" s="2"/>
      <c r="B9" s="3"/>
      <c r="C9" s="11"/>
      <c r="D9" s="73"/>
      <c r="E9" s="53"/>
      <c r="F9" s="88"/>
      <c r="G9" s="42"/>
      <c r="H9" s="6">
        <v>44337</v>
      </c>
      <c r="I9" s="58">
        <v>600</v>
      </c>
      <c r="J9" s="36"/>
      <c r="K9" s="37"/>
      <c r="L9" s="8" t="s">
        <v>2243</v>
      </c>
      <c r="M9" s="8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6">
        <v>44340</v>
      </c>
      <c r="I10" s="58">
        <v>1000</v>
      </c>
      <c r="J10" s="36" t="s">
        <v>1899</v>
      </c>
      <c r="K10" s="37"/>
      <c r="L10" s="8" t="s">
        <v>1900</v>
      </c>
      <c r="M10" s="8" t="s">
        <v>267</v>
      </c>
    </row>
    <row r="11" spans="1:13" ht="16.5" thickBot="1" x14ac:dyDescent="0.3">
      <c r="A11" s="2" t="s">
        <v>59</v>
      </c>
      <c r="B11" s="3">
        <f>(B7-B9)/2</f>
        <v>60323.625</v>
      </c>
      <c r="C11" s="11"/>
      <c r="D11" s="80" t="s">
        <v>23</v>
      </c>
      <c r="E11" s="81">
        <f>SUM(E4:E10)</f>
        <v>1719.74</v>
      </c>
      <c r="F11" s="82"/>
      <c r="H11" s="6">
        <v>44342</v>
      </c>
      <c r="I11" s="97">
        <v>200</v>
      </c>
      <c r="J11" s="36"/>
      <c r="K11" s="37"/>
      <c r="L11" s="8" t="s">
        <v>1670</v>
      </c>
      <c r="M11" s="8" t="s">
        <v>268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H12" s="6">
        <v>44348</v>
      </c>
      <c r="I12" s="97">
        <v>5764.74</v>
      </c>
      <c r="J12" s="36" t="s">
        <v>1904</v>
      </c>
      <c r="K12" s="37"/>
      <c r="L12" s="8" t="s">
        <v>1903</v>
      </c>
      <c r="M12" s="8" t="s">
        <v>268</v>
      </c>
    </row>
    <row r="13" spans="1:13" ht="15.75" x14ac:dyDescent="0.25">
      <c r="A13" s="2"/>
      <c r="B13" s="3"/>
      <c r="C13" s="11"/>
      <c r="D13" s="83"/>
      <c r="E13" s="120">
        <v>1000</v>
      </c>
      <c r="F13" s="85" t="s">
        <v>1894</v>
      </c>
      <c r="H13" s="6">
        <v>44349</v>
      </c>
      <c r="I13" s="58">
        <v>2400</v>
      </c>
      <c r="J13" s="36" t="s">
        <v>1905</v>
      </c>
      <c r="K13" s="37"/>
      <c r="L13" s="36" t="s">
        <v>1659</v>
      </c>
      <c r="M13" s="8" t="s">
        <v>268</v>
      </c>
    </row>
    <row r="14" spans="1:13" ht="15.75" x14ac:dyDescent="0.25">
      <c r="A14" s="2"/>
      <c r="B14" s="3"/>
      <c r="C14" s="11"/>
      <c r="D14" s="73"/>
      <c r="E14" s="56">
        <v>500</v>
      </c>
      <c r="F14" s="75" t="s">
        <v>1878</v>
      </c>
      <c r="H14" s="6">
        <v>44350</v>
      </c>
      <c r="I14" s="97">
        <v>17672.29</v>
      </c>
      <c r="J14" s="36" t="s">
        <v>1859</v>
      </c>
      <c r="K14" s="37"/>
      <c r="L14" s="36" t="s">
        <v>419</v>
      </c>
      <c r="M14" s="8" t="s">
        <v>268</v>
      </c>
    </row>
    <row r="15" spans="1:13" ht="15.75" x14ac:dyDescent="0.25">
      <c r="A15" s="2"/>
      <c r="B15" s="3"/>
      <c r="C15" s="11"/>
      <c r="D15" s="76"/>
      <c r="E15" s="120">
        <v>1000</v>
      </c>
      <c r="F15" s="8" t="s">
        <v>603</v>
      </c>
      <c r="H15" s="6">
        <v>44354</v>
      </c>
      <c r="I15" s="97">
        <v>500</v>
      </c>
      <c r="J15" s="36"/>
      <c r="K15" s="37"/>
      <c r="L15" s="8" t="s">
        <v>1962</v>
      </c>
      <c r="M15" s="8" t="s">
        <v>267</v>
      </c>
    </row>
    <row r="16" spans="1:13" ht="15.75" x14ac:dyDescent="0.25">
      <c r="A16" s="2"/>
      <c r="B16" s="2"/>
      <c r="C16" s="1"/>
      <c r="D16" s="76"/>
      <c r="E16" s="120">
        <f>50000+I26</f>
        <v>80227.28</v>
      </c>
      <c r="F16" s="8" t="s">
        <v>1906</v>
      </c>
      <c r="H16" s="6">
        <v>44355</v>
      </c>
      <c r="I16" s="120">
        <v>1000</v>
      </c>
      <c r="J16" s="36" t="s">
        <v>788</v>
      </c>
      <c r="K16" s="37"/>
      <c r="L16" s="8" t="s">
        <v>2231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76"/>
      <c r="E17" s="120">
        <v>8073</v>
      </c>
      <c r="F17" s="8" t="s">
        <v>1908</v>
      </c>
      <c r="H17" s="6">
        <v>44355</v>
      </c>
      <c r="I17" s="120">
        <v>50000</v>
      </c>
      <c r="J17" s="36" t="s">
        <v>1904</v>
      </c>
      <c r="K17" s="37"/>
      <c r="L17" s="8" t="s">
        <v>1913</v>
      </c>
      <c r="M17" s="8" t="s">
        <v>268</v>
      </c>
    </row>
    <row r="18" spans="1:13" ht="15.75" x14ac:dyDescent="0.25">
      <c r="A18" s="2"/>
      <c r="B18" s="3"/>
      <c r="C18" s="1"/>
      <c r="D18" s="73"/>
      <c r="E18" s="120">
        <v>2367.69</v>
      </c>
      <c r="F18" s="8" t="s">
        <v>1910</v>
      </c>
      <c r="G18" s="121"/>
      <c r="H18" s="6">
        <v>44356</v>
      </c>
      <c r="I18" s="120">
        <v>8073</v>
      </c>
      <c r="J18" s="36" t="s">
        <v>1806</v>
      </c>
      <c r="K18" s="37"/>
      <c r="L18" s="8" t="s">
        <v>1908</v>
      </c>
      <c r="M18" s="8" t="s">
        <v>268</v>
      </c>
    </row>
    <row r="19" spans="1:13" ht="16.5" thickBot="1" x14ac:dyDescent="0.3">
      <c r="A19" s="2" t="s">
        <v>57</v>
      </c>
      <c r="B19" s="3" t="e">
        <f ca="1">B11-E11+M41</f>
        <v>#NAME?</v>
      </c>
      <c r="C19" s="1"/>
      <c r="D19" s="78"/>
      <c r="E19" s="120">
        <v>584</v>
      </c>
      <c r="F19" s="8" t="s">
        <v>2249</v>
      </c>
      <c r="H19" s="6">
        <v>44358</v>
      </c>
      <c r="I19" s="120">
        <v>200</v>
      </c>
      <c r="J19" s="36" t="s">
        <v>724</v>
      </c>
      <c r="K19" s="37"/>
      <c r="L19" s="8" t="s">
        <v>1740</v>
      </c>
      <c r="M19" s="8" t="s">
        <v>267</v>
      </c>
    </row>
    <row r="20" spans="1:13" ht="16.5" thickBot="1" x14ac:dyDescent="0.3">
      <c r="A20" s="2" t="s">
        <v>12</v>
      </c>
      <c r="B20" s="3" t="e">
        <f ca="1">B11+G4+M40-E20</f>
        <v>#NAME?</v>
      </c>
      <c r="C20" s="1"/>
      <c r="D20" s="80" t="s">
        <v>23</v>
      </c>
      <c r="E20" s="81">
        <f>SUM(E13:E19)</f>
        <v>93751.97</v>
      </c>
      <c r="F20" s="82"/>
      <c r="H20" s="6">
        <v>44357</v>
      </c>
      <c r="I20" s="120">
        <v>100</v>
      </c>
      <c r="J20" s="36"/>
      <c r="K20" s="37"/>
      <c r="L20" s="8" t="s">
        <v>442</v>
      </c>
      <c r="M20" s="8" t="s">
        <v>267</v>
      </c>
    </row>
    <row r="21" spans="1:13" ht="16.5" thickBot="1" x14ac:dyDescent="0.3">
      <c r="A21" s="2"/>
      <c r="B21" s="3" t="e">
        <f ca="1">B19+B20</f>
        <v>#NAME?</v>
      </c>
      <c r="C21" s="1"/>
      <c r="D21" s="221" t="s">
        <v>1897</v>
      </c>
      <c r="E21" s="222"/>
      <c r="F21" s="223"/>
      <c r="H21" s="6">
        <v>44356</v>
      </c>
      <c r="I21" s="120">
        <v>500</v>
      </c>
      <c r="J21" s="36"/>
      <c r="K21" s="37"/>
      <c r="L21" s="8" t="s">
        <v>1077</v>
      </c>
      <c r="M21" s="8" t="s">
        <v>267</v>
      </c>
    </row>
    <row r="22" spans="1:13" ht="15.75" x14ac:dyDescent="0.25">
      <c r="A22" s="2"/>
      <c r="B22" s="2"/>
      <c r="C22" s="1"/>
      <c r="D22" s="76">
        <v>44336</v>
      </c>
      <c r="E22" s="58">
        <v>150</v>
      </c>
      <c r="F22" s="142" t="s">
        <v>1898</v>
      </c>
      <c r="H22" s="6">
        <v>44336</v>
      </c>
      <c r="I22" s="120">
        <v>2367.69</v>
      </c>
      <c r="J22" s="36" t="s">
        <v>808</v>
      </c>
      <c r="K22" s="37"/>
      <c r="L22" s="8" t="s">
        <v>1910</v>
      </c>
      <c r="M22" s="8" t="s">
        <v>268</v>
      </c>
    </row>
    <row r="23" spans="1:13" ht="15.75" x14ac:dyDescent="0.25">
      <c r="A23" s="1"/>
      <c r="B23" s="1"/>
      <c r="C23" s="1"/>
      <c r="D23" s="76">
        <v>44340</v>
      </c>
      <c r="E23" s="120">
        <v>-50</v>
      </c>
      <c r="F23" s="8" t="s">
        <v>1901</v>
      </c>
      <c r="G23" s="1"/>
      <c r="H23" s="6">
        <v>44349</v>
      </c>
      <c r="I23" s="120">
        <v>584</v>
      </c>
      <c r="J23" s="36" t="s">
        <v>788</v>
      </c>
      <c r="K23" s="37"/>
      <c r="L23" s="8" t="s">
        <v>2249</v>
      </c>
      <c r="M23" s="8" t="s">
        <v>268</v>
      </c>
    </row>
    <row r="24" spans="1:13" ht="15.75" x14ac:dyDescent="0.25">
      <c r="A24" s="1"/>
      <c r="B24" s="1"/>
      <c r="C24" s="1"/>
      <c r="D24" s="144"/>
      <c r="E24" s="120"/>
      <c r="F24" s="8"/>
      <c r="G24" s="77"/>
      <c r="H24" s="6">
        <v>44356</v>
      </c>
      <c r="I24" s="120">
        <v>1000</v>
      </c>
      <c r="J24" s="187" t="s">
        <v>1911</v>
      </c>
      <c r="K24" s="188"/>
      <c r="L24" s="8" t="s">
        <v>1894</v>
      </c>
      <c r="M24" s="8" t="s">
        <v>267</v>
      </c>
    </row>
    <row r="25" spans="1:13" ht="15.75" x14ac:dyDescent="0.25">
      <c r="A25" s="1"/>
      <c r="B25" s="1"/>
      <c r="C25" s="1"/>
      <c r="D25" s="76"/>
      <c r="E25" s="120"/>
      <c r="F25" s="8"/>
      <c r="G25" s="1"/>
      <c r="H25" s="6">
        <v>44357</v>
      </c>
      <c r="I25" s="120">
        <v>750</v>
      </c>
      <c r="J25" s="187" t="s">
        <v>788</v>
      </c>
      <c r="K25" s="188"/>
      <c r="L25" s="8" t="s">
        <v>1912</v>
      </c>
      <c r="M25" s="8" t="s">
        <v>268</v>
      </c>
    </row>
    <row r="26" spans="1:13" ht="16.5" thickBot="1" x14ac:dyDescent="0.3">
      <c r="A26" s="1"/>
      <c r="B26" s="1"/>
      <c r="C26" s="1"/>
      <c r="D26" s="73"/>
      <c r="E26" s="4"/>
      <c r="F26" s="143"/>
      <c r="G26" s="1"/>
      <c r="H26" s="6">
        <v>44361</v>
      </c>
      <c r="I26" s="7">
        <v>30227.279999999999</v>
      </c>
      <c r="J26" s="187" t="s">
        <v>1806</v>
      </c>
      <c r="K26" s="188"/>
      <c r="L26" s="8" t="s">
        <v>1913</v>
      </c>
      <c r="M26" s="8" t="s">
        <v>268</v>
      </c>
    </row>
    <row r="27" spans="1:13" ht="19.5" thickBot="1" x14ac:dyDescent="0.35">
      <c r="A27" s="17"/>
      <c r="B27" s="17"/>
      <c r="C27" s="17"/>
      <c r="D27" s="80" t="s">
        <v>23</v>
      </c>
      <c r="E27" s="81">
        <f>SUM(E22:E26)</f>
        <v>100</v>
      </c>
      <c r="F27" s="82"/>
      <c r="G27" s="9"/>
      <c r="H27" s="6" t="s">
        <v>23</v>
      </c>
      <c r="I27" s="193">
        <f>SUM(I3:I26)</f>
        <v>128434</v>
      </c>
      <c r="J27" s="194"/>
      <c r="K27" s="194"/>
      <c r="L27" s="194"/>
      <c r="M27" s="195"/>
    </row>
    <row r="28" spans="1:13" ht="16.5" thickBot="1" x14ac:dyDescent="0.3">
      <c r="A28" s="63"/>
      <c r="B28" s="63"/>
      <c r="C28" s="63"/>
      <c r="D28" s="63"/>
      <c r="E28" s="63"/>
      <c r="F28" s="63"/>
      <c r="J28" s="1"/>
      <c r="K28" s="1"/>
      <c r="L28" s="196"/>
      <c r="M28" s="196"/>
    </row>
    <row r="29" spans="1:13" ht="16.5" thickBot="1" x14ac:dyDescent="0.3">
      <c r="A29" s="63"/>
      <c r="B29" s="63"/>
      <c r="C29" s="63"/>
      <c r="D29" s="258" t="s">
        <v>1744</v>
      </c>
      <c r="E29" s="259"/>
      <c r="F29" s="141">
        <v>44327</v>
      </c>
      <c r="G29" s="65" t="s">
        <v>1748</v>
      </c>
      <c r="H29" s="66" t="s">
        <v>1749</v>
      </c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63"/>
      <c r="B30" s="63"/>
      <c r="C30" s="63"/>
      <c r="D30" s="59" t="s">
        <v>1745</v>
      </c>
      <c r="E30" s="93"/>
      <c r="F30" s="94">
        <v>1290.3</v>
      </c>
      <c r="G30" s="95" t="e">
        <f ca="1">gfSumIfColor(I3:I26,gfCelColorName(E30))</f>
        <v>#NAME?</v>
      </c>
      <c r="H30" s="96" t="e">
        <f ca="1">F30+G30</f>
        <v>#NAME?</v>
      </c>
      <c r="J30" s="180" t="s">
        <v>65</v>
      </c>
      <c r="K30" s="180"/>
      <c r="L30" s="180" t="s">
        <v>67</v>
      </c>
      <c r="M30" s="180"/>
    </row>
    <row r="31" spans="1:13" ht="16.5" thickBot="1" x14ac:dyDescent="0.3">
      <c r="A31" s="17"/>
      <c r="B31" s="29"/>
      <c r="C31" s="29"/>
      <c r="D31" s="60" t="s">
        <v>1746</v>
      </c>
      <c r="E31" s="61"/>
      <c r="F31" s="61">
        <v>4720</v>
      </c>
      <c r="G31" s="69" t="e">
        <f ca="1">gfSumIfColor(I3:I26,gfCelColorName(E31))</f>
        <v>#NAME?</v>
      </c>
      <c r="H31" s="67" t="e">
        <f ca="1">F31+G31</f>
        <v>#NAME?</v>
      </c>
      <c r="L31" s="180"/>
      <c r="M31" s="180"/>
    </row>
    <row r="32" spans="1:13" ht="16.5" thickBot="1" x14ac:dyDescent="0.3">
      <c r="A32" s="17"/>
      <c r="B32" s="17"/>
      <c r="C32" s="17"/>
      <c r="D32" s="17"/>
      <c r="E32" s="17"/>
      <c r="F32" s="72">
        <f>F30+F31</f>
        <v>6010.3</v>
      </c>
      <c r="G32" s="71" t="e">
        <f ca="1">G30+G31</f>
        <v>#NAME?</v>
      </c>
      <c r="H32" s="68" t="e">
        <f ca="1">H30+H31</f>
        <v>#NAME?</v>
      </c>
      <c r="L32" s="18"/>
      <c r="M32" s="18"/>
    </row>
    <row r="33" spans="1:13" x14ac:dyDescent="0.25">
      <c r="A33" s="18"/>
      <c r="B33" s="18"/>
      <c r="C33" s="18"/>
      <c r="D33" s="18"/>
      <c r="E33" s="18"/>
      <c r="F33" s="18"/>
      <c r="G33" s="70"/>
      <c r="L33" s="18"/>
      <c r="M33" s="18"/>
    </row>
    <row r="34" spans="1:13" ht="18.75" x14ac:dyDescent="0.3">
      <c r="H34" s="184" t="s">
        <v>1877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F36" t="s">
        <v>2090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F37" s="57">
        <f>SUM(I40:I45)</f>
        <v>1713.33</v>
      </c>
      <c r="H37" s="118"/>
      <c r="I37" s="109">
        <f>1000-E27</f>
        <v>900</v>
      </c>
      <c r="J37" s="253" t="s">
        <v>1719</v>
      </c>
      <c r="K37" s="254"/>
      <c r="L37" s="18"/>
      <c r="M37" s="18"/>
    </row>
    <row r="38" spans="1:13" ht="15.75" x14ac:dyDescent="0.25"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H39" s="118"/>
      <c r="I39" s="109">
        <v>121.89</v>
      </c>
      <c r="J39" s="257" t="s">
        <v>1800</v>
      </c>
      <c r="K39" s="257"/>
      <c r="L39" s="180"/>
      <c r="M39" s="180"/>
    </row>
    <row r="40" spans="1:13" ht="15.75" x14ac:dyDescent="0.25">
      <c r="H40" s="118">
        <v>44534</v>
      </c>
      <c r="I40" s="99">
        <v>358.1</v>
      </c>
      <c r="J40" s="253" t="s">
        <v>1883</v>
      </c>
      <c r="K40" s="254"/>
      <c r="L40" s="100" t="s">
        <v>1754</v>
      </c>
      <c r="M40" s="102" t="e">
        <f ca="1">gfSumIfColor(I36:I75,gfCelColorName(L40))</f>
        <v>#NAME?</v>
      </c>
    </row>
    <row r="41" spans="1:13" ht="15.75" x14ac:dyDescent="0.25">
      <c r="H41" s="118">
        <v>44160</v>
      </c>
      <c r="I41" s="99">
        <v>411.97</v>
      </c>
      <c r="J41" s="257" t="s">
        <v>1882</v>
      </c>
      <c r="K41" s="257"/>
      <c r="L41" s="105" t="s">
        <v>1756</v>
      </c>
      <c r="M41" s="122" t="e">
        <f ca="1">gfSumIfColor(I36:I75,gfCelColorName(L41))</f>
        <v>#NAME?</v>
      </c>
    </row>
    <row r="42" spans="1:13" ht="15.75" x14ac:dyDescent="0.25">
      <c r="G42" s="112"/>
      <c r="H42" s="118">
        <v>44560</v>
      </c>
      <c r="I42" s="99">
        <v>281.10000000000002</v>
      </c>
      <c r="J42" s="253" t="s">
        <v>1884</v>
      </c>
      <c r="K42" s="254"/>
      <c r="L42" s="110" t="s">
        <v>1759</v>
      </c>
      <c r="M42" s="102" t="e">
        <f ca="1">gfSumIfColor(I36:I75,gfCelColorName(E30))</f>
        <v>#NAME?</v>
      </c>
    </row>
    <row r="43" spans="1:13" ht="15.75" x14ac:dyDescent="0.25">
      <c r="H43" s="118">
        <v>44218</v>
      </c>
      <c r="I43" s="99">
        <v>316.77</v>
      </c>
      <c r="J43" s="253" t="s">
        <v>1884</v>
      </c>
      <c r="K43" s="254"/>
      <c r="L43" s="111" t="s">
        <v>1760</v>
      </c>
      <c r="M43" s="113" t="e">
        <f ca="1">gfSumIfColor(I36:I75,gfCelColorName(E31))</f>
        <v>#NAME?</v>
      </c>
    </row>
    <row r="44" spans="1:13" ht="15.75" x14ac:dyDescent="0.25">
      <c r="H44" s="118">
        <v>44267</v>
      </c>
      <c r="I44" s="109">
        <v>196.54</v>
      </c>
      <c r="J44" s="255" t="s">
        <v>1885</v>
      </c>
      <c r="K44" s="256"/>
    </row>
    <row r="45" spans="1:13" ht="15.75" x14ac:dyDescent="0.25">
      <c r="H45" s="118">
        <v>44279</v>
      </c>
      <c r="I45" s="109">
        <v>148.85</v>
      </c>
      <c r="J45" s="253" t="s">
        <v>1886</v>
      </c>
      <c r="K45" s="254"/>
    </row>
    <row r="46" spans="1:13" ht="15.75" x14ac:dyDescent="0.25">
      <c r="H46" s="118">
        <v>44328</v>
      </c>
      <c r="I46" s="106">
        <v>1000</v>
      </c>
      <c r="J46" s="253" t="s">
        <v>1892</v>
      </c>
      <c r="K46" s="254"/>
    </row>
    <row r="47" spans="1:13" ht="15.75" x14ac:dyDescent="0.25">
      <c r="H47" s="118">
        <v>44328</v>
      </c>
      <c r="I47" s="106">
        <v>40</v>
      </c>
      <c r="J47" s="255" t="s">
        <v>1893</v>
      </c>
      <c r="K47" s="256"/>
    </row>
    <row r="48" spans="1:13" ht="15.75" x14ac:dyDescent="0.25">
      <c r="H48" s="118">
        <v>44342</v>
      </c>
      <c r="I48" s="106">
        <v>1340</v>
      </c>
      <c r="J48" s="257" t="s">
        <v>1902</v>
      </c>
      <c r="K48" s="257"/>
    </row>
    <row r="49" spans="7:11" ht="15.75" x14ac:dyDescent="0.25">
      <c r="H49" s="118">
        <v>44356</v>
      </c>
      <c r="I49" s="109">
        <v>139.63</v>
      </c>
      <c r="J49" s="255" t="s">
        <v>158</v>
      </c>
      <c r="K49" s="256"/>
    </row>
    <row r="50" spans="7:11" ht="15.75" x14ac:dyDescent="0.25">
      <c r="H50" s="118">
        <v>44357</v>
      </c>
      <c r="I50" s="109">
        <v>350</v>
      </c>
      <c r="J50" s="255" t="s">
        <v>1907</v>
      </c>
      <c r="K50" s="256"/>
    </row>
    <row r="51" spans="7:11" ht="15.75" x14ac:dyDescent="0.25">
      <c r="H51" s="118"/>
      <c r="I51" s="53"/>
      <c r="J51" s="255"/>
      <c r="K51" s="256"/>
    </row>
    <row r="52" spans="7:11" ht="15.75" x14ac:dyDescent="0.25">
      <c r="H52" s="118"/>
      <c r="I52" s="53"/>
      <c r="J52" s="255"/>
      <c r="K52" s="256"/>
    </row>
    <row r="53" spans="7:11" ht="15.75" x14ac:dyDescent="0.25">
      <c r="H53" s="118"/>
      <c r="I53" s="53"/>
      <c r="J53" s="257"/>
      <c r="K53" s="257"/>
    </row>
    <row r="54" spans="7:11" ht="15.75" x14ac:dyDescent="0.25">
      <c r="H54" s="118"/>
      <c r="I54" s="53"/>
      <c r="J54" s="253"/>
      <c r="K54" s="254"/>
    </row>
    <row r="55" spans="7:11" ht="15.75" x14ac:dyDescent="0.25">
      <c r="H55" s="118"/>
      <c r="I55" s="53"/>
      <c r="J55" s="253"/>
      <c r="K55" s="254"/>
    </row>
    <row r="56" spans="7:11" ht="15.75" x14ac:dyDescent="0.25">
      <c r="H56" s="118"/>
      <c r="I56" s="53"/>
      <c r="J56" s="255"/>
      <c r="K56" s="256"/>
    </row>
    <row r="57" spans="7:11" ht="15.75" x14ac:dyDescent="0.25">
      <c r="H57" s="118"/>
      <c r="I57" s="53"/>
      <c r="J57" s="255"/>
      <c r="K57" s="256"/>
    </row>
    <row r="58" spans="7:11" ht="15.75" x14ac:dyDescent="0.25">
      <c r="H58" s="118"/>
      <c r="I58" s="53"/>
      <c r="J58" s="257"/>
      <c r="K58" s="257"/>
    </row>
    <row r="59" spans="7:11" ht="15.75" x14ac:dyDescent="0.25">
      <c r="H59" s="118"/>
      <c r="I59" s="53"/>
      <c r="J59" s="255"/>
      <c r="K59" s="256"/>
    </row>
    <row r="60" spans="7:11" ht="15.75" x14ac:dyDescent="0.25">
      <c r="G60" s="112"/>
      <c r="H60" s="118"/>
      <c r="I60" s="53"/>
      <c r="J60" s="255"/>
      <c r="K60" s="256"/>
    </row>
    <row r="61" spans="7:11" ht="15.75" x14ac:dyDescent="0.25">
      <c r="H61" s="118"/>
      <c r="I61" s="120"/>
      <c r="J61" s="255"/>
      <c r="K61" s="256"/>
    </row>
    <row r="62" spans="7:11" ht="15.75" x14ac:dyDescent="0.25">
      <c r="H62" s="118"/>
      <c r="I62" s="53"/>
      <c r="J62" s="257"/>
      <c r="K62" s="257"/>
    </row>
    <row r="63" spans="7:11" ht="15.75" x14ac:dyDescent="0.25">
      <c r="H63" s="118"/>
      <c r="I63" s="53"/>
      <c r="J63" s="255"/>
      <c r="K63" s="256"/>
    </row>
    <row r="64" spans="7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ht="15.75" x14ac:dyDescent="0.25">
      <c r="H77" s="118"/>
      <c r="I77" s="53"/>
      <c r="J77" s="253"/>
      <c r="K77" s="254"/>
    </row>
    <row r="78" spans="8:11" ht="15.75" x14ac:dyDescent="0.25">
      <c r="H78" s="118"/>
      <c r="I78" s="53"/>
      <c r="J78" s="253"/>
      <c r="K78" s="254"/>
    </row>
    <row r="79" spans="8:11" x14ac:dyDescent="0.25">
      <c r="I79" s="57">
        <f>SUM(I36:I69)</f>
        <v>7786.75</v>
      </c>
    </row>
  </sheetData>
  <mergeCells count="73">
    <mergeCell ref="A17:B17"/>
    <mergeCell ref="A1:B1"/>
    <mergeCell ref="D1:F1"/>
    <mergeCell ref="H1:M1"/>
    <mergeCell ref="A2:B2"/>
    <mergeCell ref="D2:F2"/>
    <mergeCell ref="J2:K2"/>
    <mergeCell ref="D29:E29"/>
    <mergeCell ref="J29:K29"/>
    <mergeCell ref="L29:M29"/>
    <mergeCell ref="J3:K3"/>
    <mergeCell ref="J5:K5"/>
    <mergeCell ref="J6:K6"/>
    <mergeCell ref="J7:K7"/>
    <mergeCell ref="D21:F21"/>
    <mergeCell ref="D12:F12"/>
    <mergeCell ref="J35:K35"/>
    <mergeCell ref="L35:M35"/>
    <mergeCell ref="J24:K24"/>
    <mergeCell ref="J25:K25"/>
    <mergeCell ref="J26:K26"/>
    <mergeCell ref="I27:M27"/>
    <mergeCell ref="L28:M28"/>
    <mergeCell ref="J30:K30"/>
    <mergeCell ref="L30:M30"/>
    <mergeCell ref="L31:M31"/>
    <mergeCell ref="H34:K34"/>
    <mergeCell ref="L34:M34"/>
    <mergeCell ref="J45:K45"/>
    <mergeCell ref="J36:K36"/>
    <mergeCell ref="J37:K3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J57:K57"/>
    <mergeCell ref="J46:K46"/>
    <mergeCell ref="J47:K47"/>
    <mergeCell ref="J48:K48"/>
    <mergeCell ref="J49:K49"/>
    <mergeCell ref="J50:K50"/>
    <mergeCell ref="J51:K51"/>
    <mergeCell ref="J52:K52"/>
    <mergeCell ref="J53:K53"/>
    <mergeCell ref="J54:K54"/>
    <mergeCell ref="J55:K55"/>
    <mergeCell ref="J56:K56"/>
    <mergeCell ref="J69:K69"/>
    <mergeCell ref="J58:K58"/>
    <mergeCell ref="J59:K59"/>
    <mergeCell ref="J60:K60"/>
    <mergeCell ref="J61:K61"/>
    <mergeCell ref="J62:K62"/>
    <mergeCell ref="J63:K63"/>
    <mergeCell ref="J64:K64"/>
    <mergeCell ref="J65:K65"/>
    <mergeCell ref="J66:K66"/>
    <mergeCell ref="J67:K67"/>
    <mergeCell ref="J68:K68"/>
    <mergeCell ref="J76:K76"/>
    <mergeCell ref="J77:K77"/>
    <mergeCell ref="J78:K78"/>
    <mergeCell ref="J70:K70"/>
    <mergeCell ref="J71:K71"/>
    <mergeCell ref="J72:K72"/>
    <mergeCell ref="J73:K73"/>
    <mergeCell ref="J74:K74"/>
    <mergeCell ref="J75:K7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Planilha64"/>
  <dimension ref="A1:M79"/>
  <sheetViews>
    <sheetView topLeftCell="G4" zoomScale="85" zoomScaleNormal="85" workbookViewId="0">
      <selection activeCell="H11" sqref="H11:L11"/>
    </sheetView>
  </sheetViews>
  <sheetFormatPr defaultRowHeight="15" x14ac:dyDescent="0.25"/>
  <cols>
    <col min="1" max="1" width="20.7109375" customWidth="1"/>
    <col min="2" max="2" width="19.7109375" customWidth="1"/>
    <col min="3" max="3" width="11.2851562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1442</v>
      </c>
      <c r="B1" s="184"/>
      <c r="C1" s="10"/>
      <c r="D1" s="229" t="s">
        <v>55</v>
      </c>
      <c r="E1" s="230"/>
      <c r="F1" s="231"/>
      <c r="H1" s="184" t="s">
        <v>1943</v>
      </c>
      <c r="I1" s="184"/>
      <c r="J1" s="184"/>
      <c r="K1" s="184"/>
      <c r="L1" s="184"/>
      <c r="M1" s="184"/>
    </row>
    <row r="2" spans="1:13" ht="19.5" thickBot="1" x14ac:dyDescent="0.35">
      <c r="A2" s="184" t="s">
        <v>1914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70785.52</v>
      </c>
      <c r="C3" s="11"/>
      <c r="D3" s="91" t="s">
        <v>1</v>
      </c>
      <c r="E3" s="91" t="s">
        <v>6</v>
      </c>
      <c r="F3" s="92" t="s">
        <v>13</v>
      </c>
      <c r="H3" s="6">
        <v>44363</v>
      </c>
      <c r="I3" s="97">
        <v>455</v>
      </c>
      <c r="J3" s="187" t="s">
        <v>788</v>
      </c>
      <c r="K3" s="188"/>
      <c r="L3" s="8" t="s">
        <v>1710</v>
      </c>
      <c r="M3" s="8" t="s">
        <v>268</v>
      </c>
    </row>
    <row r="4" spans="1:13" ht="15.75" x14ac:dyDescent="0.25">
      <c r="A4" s="2"/>
      <c r="B4" s="3"/>
      <c r="C4" s="11"/>
      <c r="D4" s="73">
        <v>44203</v>
      </c>
      <c r="E4" s="107">
        <v>92.66</v>
      </c>
      <c r="F4" s="74" t="s">
        <v>1917</v>
      </c>
      <c r="G4" s="114" t="e">
        <f ca="1">gfSumIfColor(E4:E10,gfCelColorName(E4))</f>
        <v>#NAME?</v>
      </c>
      <c r="H4" s="6">
        <v>44368</v>
      </c>
      <c r="I4" s="58">
        <v>1000</v>
      </c>
      <c r="J4" s="36" t="s">
        <v>1925</v>
      </c>
      <c r="K4" s="37"/>
      <c r="L4" s="8" t="s">
        <v>1922</v>
      </c>
      <c r="M4" s="8" t="s">
        <v>267</v>
      </c>
    </row>
    <row r="5" spans="1:13" ht="15.75" x14ac:dyDescent="0.25">
      <c r="A5" s="2" t="s">
        <v>4</v>
      </c>
      <c r="B5" s="3">
        <f>SUM(I36:I67)</f>
        <v>41597.919999999998</v>
      </c>
      <c r="C5" s="11"/>
      <c r="D5" s="76">
        <v>44204</v>
      </c>
      <c r="E5" s="107">
        <v>550.88</v>
      </c>
      <c r="F5" s="86" t="s">
        <v>1916</v>
      </c>
      <c r="H5" s="6">
        <v>44368</v>
      </c>
      <c r="I5" s="97">
        <v>2000</v>
      </c>
      <c r="J5" s="187" t="s">
        <v>788</v>
      </c>
      <c r="K5" s="188"/>
      <c r="L5" s="8" t="s">
        <v>1924</v>
      </c>
      <c r="M5" s="8" t="s">
        <v>268</v>
      </c>
    </row>
    <row r="6" spans="1:13" ht="15.75" x14ac:dyDescent="0.25">
      <c r="A6" s="2"/>
      <c r="B6" s="3"/>
      <c r="C6" s="11"/>
      <c r="D6" s="73">
        <v>44204</v>
      </c>
      <c r="E6" s="107">
        <v>176.2</v>
      </c>
      <c r="F6" s="74" t="s">
        <v>1493</v>
      </c>
      <c r="H6" s="6">
        <v>44368</v>
      </c>
      <c r="I6" s="97">
        <v>1000</v>
      </c>
      <c r="J6" s="187" t="s">
        <v>1904</v>
      </c>
      <c r="K6" s="188"/>
      <c r="L6" s="8" t="s">
        <v>1926</v>
      </c>
      <c r="M6" s="8" t="s">
        <v>268</v>
      </c>
    </row>
    <row r="7" spans="1:13" ht="15.75" x14ac:dyDescent="0.25">
      <c r="A7" s="12" t="s">
        <v>5</v>
      </c>
      <c r="B7" s="25">
        <f>B3+B4-B5</f>
        <v>29187.600000000006</v>
      </c>
      <c r="C7" s="11"/>
      <c r="D7" s="73">
        <v>44246</v>
      </c>
      <c r="E7" s="107">
        <v>100</v>
      </c>
      <c r="F7" s="74" t="s">
        <v>1915</v>
      </c>
      <c r="H7" s="6">
        <v>44375</v>
      </c>
      <c r="I7" s="97">
        <v>20386</v>
      </c>
      <c r="J7" s="187" t="s">
        <v>1904</v>
      </c>
      <c r="K7" s="188"/>
      <c r="L7" s="8" t="s">
        <v>1908</v>
      </c>
      <c r="M7" s="8" t="s">
        <v>268</v>
      </c>
    </row>
    <row r="8" spans="1:13" ht="15.75" x14ac:dyDescent="0.25">
      <c r="A8" s="2"/>
      <c r="B8" s="3"/>
      <c r="C8" s="11"/>
      <c r="D8" s="138">
        <v>44368</v>
      </c>
      <c r="E8" s="137">
        <v>90.48</v>
      </c>
      <c r="F8" s="74" t="s">
        <v>1923</v>
      </c>
      <c r="H8" s="6">
        <v>44377</v>
      </c>
      <c r="I8" s="97">
        <v>200</v>
      </c>
      <c r="J8" s="36" t="s">
        <v>724</v>
      </c>
      <c r="K8" s="37"/>
      <c r="L8" s="8" t="s">
        <v>1740</v>
      </c>
      <c r="M8" s="8" t="s">
        <v>267</v>
      </c>
    </row>
    <row r="9" spans="1:13" ht="15.75" x14ac:dyDescent="0.25">
      <c r="A9" s="2"/>
      <c r="B9" s="3"/>
      <c r="C9" s="11"/>
      <c r="D9" s="73"/>
      <c r="E9" s="53"/>
      <c r="F9" s="88"/>
      <c r="G9" s="42"/>
      <c r="H9" s="6">
        <v>44378</v>
      </c>
      <c r="I9" s="97">
        <v>500</v>
      </c>
      <c r="J9" s="36"/>
      <c r="K9" s="37"/>
      <c r="L9" s="8" t="s">
        <v>1077</v>
      </c>
      <c r="M9" s="8" t="s">
        <v>267</v>
      </c>
    </row>
    <row r="10" spans="1:13" ht="16.5" thickBot="1" x14ac:dyDescent="0.3">
      <c r="A10" s="2"/>
      <c r="B10" s="3"/>
      <c r="C10" s="11"/>
      <c r="D10" s="78">
        <v>44378</v>
      </c>
      <c r="E10" s="79">
        <v>59.85</v>
      </c>
      <c r="F10" s="89" t="s">
        <v>1932</v>
      </c>
      <c r="H10" s="6">
        <v>44379</v>
      </c>
      <c r="I10" s="97">
        <v>10963.29</v>
      </c>
      <c r="J10" s="36" t="s">
        <v>1904</v>
      </c>
      <c r="K10" s="37"/>
      <c r="L10" s="8" t="s">
        <v>1908</v>
      </c>
      <c r="M10" s="8" t="s">
        <v>268</v>
      </c>
    </row>
    <row r="11" spans="1:13" ht="16.5" thickBot="1" x14ac:dyDescent="0.3">
      <c r="A11" s="2" t="s">
        <v>59</v>
      </c>
      <c r="B11" s="3">
        <f>(B7-B9)/2</f>
        <v>14593.800000000003</v>
      </c>
      <c r="C11" s="11"/>
      <c r="D11" s="80" t="s">
        <v>23</v>
      </c>
      <c r="E11" s="81">
        <f>SUM(E4:E10)</f>
        <v>1070.07</v>
      </c>
      <c r="F11" s="82"/>
      <c r="H11" s="6">
        <v>44382</v>
      </c>
      <c r="I11" s="97">
        <v>300</v>
      </c>
      <c r="J11" s="36" t="s">
        <v>379</v>
      </c>
      <c r="K11" s="37"/>
      <c r="L11" s="8" t="s">
        <v>1889</v>
      </c>
      <c r="M11" s="8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H12" s="6">
        <v>44383</v>
      </c>
      <c r="I12" s="97">
        <v>2700</v>
      </c>
      <c r="J12" s="36"/>
      <c r="K12" s="37"/>
      <c r="L12" s="8" t="s">
        <v>2245</v>
      </c>
      <c r="M12" s="8" t="s">
        <v>267</v>
      </c>
    </row>
    <row r="13" spans="1:13" ht="15.75" x14ac:dyDescent="0.25">
      <c r="A13" s="2"/>
      <c r="B13" s="3"/>
      <c r="C13" s="11"/>
      <c r="D13" s="83"/>
      <c r="E13" s="120">
        <v>10139.709999999999</v>
      </c>
      <c r="F13" s="36" t="s">
        <v>1936</v>
      </c>
      <c r="H13" s="6">
        <v>44385</v>
      </c>
      <c r="I13" s="97">
        <v>300</v>
      </c>
      <c r="J13" s="36" t="s">
        <v>724</v>
      </c>
      <c r="K13" s="37"/>
      <c r="L13" s="36" t="s">
        <v>2221</v>
      </c>
      <c r="M13" s="8" t="s">
        <v>267</v>
      </c>
    </row>
    <row r="14" spans="1:13" ht="15.75" x14ac:dyDescent="0.25">
      <c r="A14" s="2"/>
      <c r="B14" s="3"/>
      <c r="C14" s="11"/>
      <c r="D14" s="73"/>
      <c r="E14" s="120">
        <v>1529.51</v>
      </c>
      <c r="F14" s="36" t="s">
        <v>1934</v>
      </c>
      <c r="H14" s="6">
        <v>44382</v>
      </c>
      <c r="I14" s="120">
        <v>10139.709999999999</v>
      </c>
      <c r="J14" s="36" t="s">
        <v>1904</v>
      </c>
      <c r="K14" s="37"/>
      <c r="L14" s="36" t="s">
        <v>1936</v>
      </c>
      <c r="M14" s="8" t="s">
        <v>268</v>
      </c>
    </row>
    <row r="15" spans="1:13" ht="15.75" x14ac:dyDescent="0.25">
      <c r="A15" s="2"/>
      <c r="B15" s="3"/>
      <c r="C15" s="11"/>
      <c r="D15" s="76"/>
      <c r="E15" s="120"/>
      <c r="F15" s="8"/>
      <c r="H15" s="6">
        <v>44378</v>
      </c>
      <c r="I15" s="120">
        <v>1529.51</v>
      </c>
      <c r="J15" s="36" t="s">
        <v>1904</v>
      </c>
      <c r="K15" s="37"/>
      <c r="L15" s="36" t="s">
        <v>1934</v>
      </c>
      <c r="M15" s="8" t="s">
        <v>268</v>
      </c>
    </row>
    <row r="16" spans="1:13" ht="15.75" x14ac:dyDescent="0.25">
      <c r="A16" s="2"/>
      <c r="B16" s="2"/>
      <c r="C16" s="1"/>
      <c r="D16" s="76"/>
      <c r="E16" s="120">
        <v>17672.29</v>
      </c>
      <c r="F16" s="8" t="s">
        <v>1933</v>
      </c>
      <c r="H16" s="6">
        <v>44385</v>
      </c>
      <c r="I16" s="58">
        <v>500</v>
      </c>
      <c r="J16" s="36" t="s">
        <v>1874</v>
      </c>
      <c r="K16" s="37"/>
      <c r="L16" s="8" t="s">
        <v>1873</v>
      </c>
      <c r="M16" s="8" t="s">
        <v>268</v>
      </c>
    </row>
    <row r="17" spans="1:13" ht="15.75" x14ac:dyDescent="0.25">
      <c r="A17" s="198" t="s">
        <v>56</v>
      </c>
      <c r="B17" s="198"/>
      <c r="C17" s="1"/>
      <c r="D17" s="76"/>
      <c r="E17" s="120">
        <v>1139.72</v>
      </c>
      <c r="F17" s="8" t="s">
        <v>1937</v>
      </c>
      <c r="H17" s="6">
        <v>44379</v>
      </c>
      <c r="I17" s="120">
        <v>17672.29</v>
      </c>
      <c r="J17" s="36" t="s">
        <v>1935</v>
      </c>
      <c r="K17" s="37"/>
      <c r="L17" s="8" t="s">
        <v>1933</v>
      </c>
      <c r="M17" s="8" t="s">
        <v>268</v>
      </c>
    </row>
    <row r="18" spans="1:13" ht="15.75" x14ac:dyDescent="0.25">
      <c r="A18" s="2"/>
      <c r="B18" s="3"/>
      <c r="C18" s="1"/>
      <c r="D18" s="73"/>
      <c r="E18" s="120"/>
      <c r="F18" s="8"/>
      <c r="G18" s="121"/>
      <c r="H18" s="6">
        <v>44386</v>
      </c>
      <c r="I18" s="120">
        <v>1139.72</v>
      </c>
      <c r="J18" s="36" t="s">
        <v>788</v>
      </c>
      <c r="K18" s="37"/>
      <c r="L18" s="8" t="s">
        <v>1937</v>
      </c>
      <c r="M18" s="8" t="s">
        <v>268</v>
      </c>
    </row>
    <row r="19" spans="1:13" ht="16.5" thickBot="1" x14ac:dyDescent="0.3">
      <c r="A19" s="2" t="s">
        <v>57</v>
      </c>
      <c r="B19" s="3" t="e">
        <f ca="1">B11-E11+M41</f>
        <v>#NAME?</v>
      </c>
      <c r="C19" s="1"/>
      <c r="D19" s="78"/>
      <c r="E19" s="120"/>
      <c r="F19" s="8"/>
      <c r="H19" s="6"/>
      <c r="I19" s="120"/>
      <c r="J19" s="36"/>
      <c r="K19" s="37"/>
      <c r="L19" s="8"/>
      <c r="M19" s="8"/>
    </row>
    <row r="20" spans="1:13" ht="16.5" thickBot="1" x14ac:dyDescent="0.3">
      <c r="A20" s="2" t="s">
        <v>12</v>
      </c>
      <c r="B20" s="3" t="e">
        <f ca="1">B11+G4+M40-E20</f>
        <v>#NAME?</v>
      </c>
      <c r="C20" s="1"/>
      <c r="D20" s="80" t="s">
        <v>23</v>
      </c>
      <c r="E20" s="81">
        <f>SUM(E13:E19)</f>
        <v>30481.230000000003</v>
      </c>
      <c r="F20" s="82"/>
      <c r="H20" s="6"/>
      <c r="I20" s="120"/>
      <c r="J20" s="36"/>
      <c r="K20" s="37"/>
      <c r="L20" s="8"/>
      <c r="M20" s="8"/>
    </row>
    <row r="21" spans="1:13" ht="16.5" thickBot="1" x14ac:dyDescent="0.3">
      <c r="A21" s="2"/>
      <c r="B21" s="3"/>
      <c r="C21" s="1"/>
      <c r="D21" s="221" t="s">
        <v>1897</v>
      </c>
      <c r="E21" s="222"/>
      <c r="F21" s="223"/>
      <c r="H21" s="6"/>
      <c r="I21" s="120"/>
      <c r="J21" s="36"/>
      <c r="K21" s="37"/>
      <c r="L21" s="8"/>
      <c r="M21" s="8"/>
    </row>
    <row r="22" spans="1:13" ht="15.75" x14ac:dyDescent="0.25">
      <c r="A22" s="2"/>
      <c r="B22" s="2"/>
      <c r="C22" s="1"/>
      <c r="D22" s="76"/>
      <c r="E22" s="120"/>
      <c r="F22" s="142"/>
      <c r="H22" s="6"/>
      <c r="I22" s="120"/>
      <c r="J22" s="36"/>
      <c r="K22" s="37"/>
      <c r="L22" s="8"/>
      <c r="M22" s="8"/>
    </row>
    <row r="23" spans="1:13" ht="15.75" x14ac:dyDescent="0.25">
      <c r="A23" s="1"/>
      <c r="B23" s="1"/>
      <c r="C23" s="1"/>
      <c r="D23" s="76"/>
      <c r="E23" s="120"/>
      <c r="F23" s="8"/>
      <c r="G23" s="1"/>
      <c r="H23" s="6"/>
      <c r="I23" s="120"/>
      <c r="J23" s="36"/>
      <c r="K23" s="37"/>
      <c r="L23" s="8"/>
      <c r="M23" s="8"/>
    </row>
    <row r="24" spans="1:13" ht="15.75" x14ac:dyDescent="0.25">
      <c r="A24" s="1"/>
      <c r="B24" s="1"/>
      <c r="C24" s="1"/>
      <c r="D24" s="144"/>
      <c r="E24" s="120"/>
      <c r="F24" s="8"/>
      <c r="G24" s="77"/>
      <c r="H24" s="6"/>
      <c r="I24" s="120"/>
      <c r="J24" s="187"/>
      <c r="K24" s="188"/>
      <c r="L24" s="8"/>
      <c r="M24" s="8"/>
    </row>
    <row r="25" spans="1:13" ht="15.75" x14ac:dyDescent="0.25">
      <c r="A25" s="1"/>
      <c r="B25" s="1"/>
      <c r="C25" s="1"/>
      <c r="D25" s="76"/>
      <c r="E25" s="120"/>
      <c r="F25" s="8"/>
      <c r="G25" s="1"/>
      <c r="H25" s="6"/>
      <c r="I25" s="120"/>
      <c r="J25" s="187"/>
      <c r="K25" s="188"/>
      <c r="L25" s="8"/>
      <c r="M25" s="8"/>
    </row>
    <row r="26" spans="1:13" ht="16.5" thickBot="1" x14ac:dyDescent="0.3">
      <c r="A26" s="1"/>
      <c r="B26" s="1"/>
      <c r="C26" s="1"/>
      <c r="D26" s="73"/>
      <c r="E26" s="4"/>
      <c r="F26" s="143"/>
      <c r="G26" s="1"/>
      <c r="H26" s="6"/>
      <c r="I26" s="7"/>
      <c r="J26" s="187"/>
      <c r="K26" s="188"/>
      <c r="L26" s="8"/>
      <c r="M26" s="8"/>
    </row>
    <row r="27" spans="1:13" ht="19.5" thickBot="1" x14ac:dyDescent="0.35">
      <c r="A27" s="17"/>
      <c r="B27" s="17"/>
      <c r="C27" s="17"/>
      <c r="D27" s="80" t="s">
        <v>23</v>
      </c>
      <c r="E27" s="81">
        <f>SUM(E22:E26)</f>
        <v>0</v>
      </c>
      <c r="F27" s="82"/>
      <c r="G27" s="9"/>
      <c r="H27" s="6" t="s">
        <v>23</v>
      </c>
      <c r="I27" s="193">
        <f>SUM(I3:I26)</f>
        <v>70785.52</v>
      </c>
      <c r="J27" s="194"/>
      <c r="K27" s="194"/>
      <c r="L27" s="194"/>
      <c r="M27" s="195"/>
    </row>
    <row r="28" spans="1:13" ht="16.5" thickBot="1" x14ac:dyDescent="0.3">
      <c r="A28" s="63"/>
      <c r="B28" s="63"/>
      <c r="C28" s="63"/>
      <c r="D28" s="63"/>
      <c r="E28" s="63"/>
      <c r="F28" s="63"/>
      <c r="J28" s="1"/>
      <c r="K28" s="1"/>
      <c r="L28" s="196"/>
      <c r="M28" s="196"/>
    </row>
    <row r="29" spans="1:13" ht="16.5" thickBot="1" x14ac:dyDescent="0.3">
      <c r="A29" s="63"/>
      <c r="B29" s="63"/>
      <c r="C29" s="63"/>
      <c r="D29" s="258" t="s">
        <v>1744</v>
      </c>
      <c r="E29" s="259"/>
      <c r="F29" s="141">
        <v>44361</v>
      </c>
      <c r="G29" s="65" t="s">
        <v>1748</v>
      </c>
      <c r="H29" s="66" t="s">
        <v>1749</v>
      </c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63"/>
      <c r="B30" s="63"/>
      <c r="C30" s="63"/>
      <c r="D30" s="59" t="s">
        <v>1745</v>
      </c>
      <c r="E30" s="93"/>
      <c r="F30" s="94">
        <v>2575.71</v>
      </c>
      <c r="G30" s="95" t="e">
        <f ca="1">gfSumIfColor(I3:I26,gfCelColorName(E30))</f>
        <v>#NAME?</v>
      </c>
      <c r="H30" s="96" t="e">
        <f ca="1">F30+G30</f>
        <v>#NAME?</v>
      </c>
      <c r="J30" s="180" t="s">
        <v>65</v>
      </c>
      <c r="K30" s="180"/>
      <c r="L30" s="180" t="s">
        <v>67</v>
      </c>
      <c r="M30" s="180"/>
    </row>
    <row r="31" spans="1:13" ht="16.5" thickBot="1" x14ac:dyDescent="0.3">
      <c r="A31" s="17"/>
      <c r="B31" s="29"/>
      <c r="C31" s="29"/>
      <c r="D31" s="60" t="s">
        <v>1746</v>
      </c>
      <c r="E31" s="61"/>
      <c r="F31" s="61">
        <v>2090</v>
      </c>
      <c r="G31" s="69" t="e">
        <f ca="1">gfSumIfColor(I3:I26,gfCelColorName(E31))</f>
        <v>#NAME?</v>
      </c>
      <c r="H31" s="67" t="e">
        <f ca="1">F31+G31</f>
        <v>#NAME?</v>
      </c>
      <c r="L31" s="180"/>
      <c r="M31" s="180"/>
    </row>
    <row r="32" spans="1:13" ht="16.5" thickBot="1" x14ac:dyDescent="0.3">
      <c r="A32" s="17"/>
      <c r="B32" s="17"/>
      <c r="C32" s="17"/>
      <c r="D32" s="17"/>
      <c r="E32" s="17"/>
      <c r="F32" s="72">
        <f>F30+F31</f>
        <v>4665.71</v>
      </c>
      <c r="G32" s="71" t="e">
        <f ca="1">G30+G31</f>
        <v>#NAME?</v>
      </c>
      <c r="H32" s="68" t="e">
        <f ca="1">H30+H31</f>
        <v>#NAME?</v>
      </c>
      <c r="L32" s="18"/>
      <c r="M32" s="18"/>
    </row>
    <row r="33" spans="1:13" x14ac:dyDescent="0.25">
      <c r="A33" s="18"/>
      <c r="B33" s="18"/>
      <c r="C33" s="18"/>
      <c r="D33" s="18"/>
      <c r="E33" s="18"/>
      <c r="F33" s="18"/>
      <c r="G33" s="70"/>
      <c r="L33" s="18"/>
      <c r="M33" s="18"/>
    </row>
    <row r="34" spans="1:13" ht="18.75" x14ac:dyDescent="0.3">
      <c r="H34" s="184" t="s">
        <v>2025</v>
      </c>
      <c r="I34" s="184"/>
      <c r="J34" s="184"/>
      <c r="K34" s="184"/>
      <c r="L34" s="180"/>
      <c r="M34" s="180"/>
    </row>
    <row r="35" spans="1:13" ht="15.75" x14ac:dyDescent="0.25"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F36" t="s">
        <v>2090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F37" s="57">
        <f>SUM(I51,I47,I40:I44)</f>
        <v>36573.749999999993</v>
      </c>
      <c r="H37" s="118"/>
      <c r="I37" s="109">
        <f>1000-E27</f>
        <v>1000</v>
      </c>
      <c r="J37" s="253" t="s">
        <v>1719</v>
      </c>
      <c r="K37" s="254"/>
      <c r="L37" s="18"/>
      <c r="M37" s="18"/>
    </row>
    <row r="38" spans="1:13" ht="15.75" x14ac:dyDescent="0.25"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H39" s="118">
        <v>44363</v>
      </c>
      <c r="I39" s="109">
        <v>121.89</v>
      </c>
      <c r="J39" s="257" t="s">
        <v>1800</v>
      </c>
      <c r="K39" s="257"/>
      <c r="L39" s="180"/>
      <c r="M39" s="180"/>
    </row>
    <row r="40" spans="1:13" ht="15.75" x14ac:dyDescent="0.25">
      <c r="H40" s="118">
        <v>44279</v>
      </c>
      <c r="I40" s="109">
        <v>148.85</v>
      </c>
      <c r="J40" s="253" t="s">
        <v>1921</v>
      </c>
      <c r="K40" s="254"/>
      <c r="L40" s="100" t="s">
        <v>1754</v>
      </c>
      <c r="M40" s="102" t="e">
        <f ca="1">gfSumIfColor(I36:I75,gfCelColorName(L40))</f>
        <v>#NAME?</v>
      </c>
    </row>
    <row r="41" spans="1:13" ht="15.75" x14ac:dyDescent="0.25">
      <c r="H41" s="118">
        <v>44160</v>
      </c>
      <c r="I41" s="99">
        <v>411.97</v>
      </c>
      <c r="J41" s="257" t="s">
        <v>1918</v>
      </c>
      <c r="K41" s="257"/>
      <c r="L41" s="105" t="s">
        <v>1756</v>
      </c>
      <c r="M41" s="122" t="e">
        <f ca="1">gfSumIfColor(I36:I75,gfCelColorName(L41))</f>
        <v>#NAME?</v>
      </c>
    </row>
    <row r="42" spans="1:13" ht="15.75" x14ac:dyDescent="0.25">
      <c r="G42" s="112"/>
      <c r="H42" s="118">
        <v>44560</v>
      </c>
      <c r="I42" s="99">
        <v>281.10000000000002</v>
      </c>
      <c r="J42" s="253" t="s">
        <v>1919</v>
      </c>
      <c r="K42" s="254"/>
      <c r="L42" s="110" t="s">
        <v>1759</v>
      </c>
      <c r="M42" s="102" t="e">
        <f ca="1">gfSumIfColor(I36:I75,gfCelColorName(E30))</f>
        <v>#NAME?</v>
      </c>
    </row>
    <row r="43" spans="1:13" ht="15.75" x14ac:dyDescent="0.25">
      <c r="H43" s="118">
        <v>44218</v>
      </c>
      <c r="I43" s="99">
        <v>316.77</v>
      </c>
      <c r="J43" s="253" t="s">
        <v>1919</v>
      </c>
      <c r="K43" s="254"/>
      <c r="L43" s="111" t="s">
        <v>1760</v>
      </c>
      <c r="M43" s="113" t="e">
        <f ca="1">gfSumIfColor(I36:I75,gfCelColorName(E31))</f>
        <v>#NAME?</v>
      </c>
    </row>
    <row r="44" spans="1:13" ht="15.75" x14ac:dyDescent="0.25">
      <c r="H44" s="118">
        <v>44267</v>
      </c>
      <c r="I44" s="109">
        <v>196.54</v>
      </c>
      <c r="J44" s="255" t="s">
        <v>1920</v>
      </c>
      <c r="K44" s="256"/>
    </row>
    <row r="45" spans="1:13" ht="15.75" x14ac:dyDescent="0.25">
      <c r="H45" s="118">
        <v>44368</v>
      </c>
      <c r="I45" s="106">
        <v>20</v>
      </c>
      <c r="J45" s="253" t="s">
        <v>1927</v>
      </c>
      <c r="K45" s="254"/>
    </row>
    <row r="46" spans="1:13" ht="15.75" x14ac:dyDescent="0.25">
      <c r="H46" s="118">
        <v>44370</v>
      </c>
      <c r="I46" s="106">
        <v>10</v>
      </c>
      <c r="J46" s="253" t="s">
        <v>1928</v>
      </c>
      <c r="K46" s="254"/>
    </row>
    <row r="47" spans="1:13" ht="15.75" x14ac:dyDescent="0.25">
      <c r="H47" s="118">
        <v>44375</v>
      </c>
      <c r="I47" s="109">
        <v>218.52</v>
      </c>
      <c r="J47" s="255" t="s">
        <v>1929</v>
      </c>
      <c r="K47" s="256"/>
    </row>
    <row r="48" spans="1:13" ht="15.75" x14ac:dyDescent="0.25">
      <c r="H48" s="118">
        <v>44376</v>
      </c>
      <c r="I48" s="109">
        <v>739.8</v>
      </c>
      <c r="J48" s="257" t="s">
        <v>1930</v>
      </c>
      <c r="K48" s="257"/>
    </row>
    <row r="49" spans="7:11" ht="15.75" x14ac:dyDescent="0.25">
      <c r="H49" s="118">
        <v>44382</v>
      </c>
      <c r="I49" s="106">
        <v>200</v>
      </c>
      <c r="J49" s="255" t="s">
        <v>1931</v>
      </c>
      <c r="K49" s="256"/>
    </row>
    <row r="50" spans="7:11" ht="15.75" x14ac:dyDescent="0.25">
      <c r="H50" s="118">
        <v>44383</v>
      </c>
      <c r="I50" s="109">
        <v>47.58</v>
      </c>
      <c r="J50" s="255"/>
      <c r="K50" s="256"/>
    </row>
    <row r="51" spans="7:11" ht="15.75" x14ac:dyDescent="0.25">
      <c r="H51" s="118"/>
      <c r="I51" s="53">
        <v>35000</v>
      </c>
      <c r="J51" s="255" t="s">
        <v>1058</v>
      </c>
      <c r="K51" s="256"/>
    </row>
    <row r="52" spans="7:11" ht="15.75" x14ac:dyDescent="0.25">
      <c r="H52" s="118">
        <v>44386</v>
      </c>
      <c r="I52" s="109">
        <v>234</v>
      </c>
      <c r="J52" s="255" t="s">
        <v>1938</v>
      </c>
      <c r="K52" s="256"/>
    </row>
    <row r="53" spans="7:11" ht="15.75" x14ac:dyDescent="0.25">
      <c r="H53" s="118">
        <v>44386</v>
      </c>
      <c r="I53" s="109">
        <v>300</v>
      </c>
      <c r="J53" s="257" t="s">
        <v>1939</v>
      </c>
      <c r="K53" s="257"/>
    </row>
    <row r="54" spans="7:11" ht="15.75" x14ac:dyDescent="0.25">
      <c r="H54" s="118">
        <v>44376</v>
      </c>
      <c r="I54" s="99">
        <v>169</v>
      </c>
      <c r="J54" s="253" t="s">
        <v>1940</v>
      </c>
      <c r="K54" s="254"/>
    </row>
    <row r="55" spans="7:11" ht="15.75" x14ac:dyDescent="0.25">
      <c r="H55" s="118"/>
      <c r="I55" s="53"/>
      <c r="J55" s="253"/>
      <c r="K55" s="254"/>
    </row>
    <row r="56" spans="7:11" ht="15.75" x14ac:dyDescent="0.25">
      <c r="H56" s="118"/>
      <c r="I56" s="53"/>
      <c r="J56" s="255"/>
      <c r="K56" s="256"/>
    </row>
    <row r="57" spans="7:11" ht="15.75" x14ac:dyDescent="0.25">
      <c r="H57" s="118"/>
      <c r="I57" s="53"/>
      <c r="J57" s="255"/>
      <c r="K57" s="256"/>
    </row>
    <row r="58" spans="7:11" ht="15.75" x14ac:dyDescent="0.25">
      <c r="H58" s="118"/>
      <c r="I58" s="53"/>
      <c r="J58" s="257"/>
      <c r="K58" s="257"/>
    </row>
    <row r="59" spans="7:11" ht="15.75" x14ac:dyDescent="0.25">
      <c r="H59" s="118"/>
      <c r="I59" s="53"/>
      <c r="J59" s="255"/>
      <c r="K59" s="256"/>
    </row>
    <row r="60" spans="7:11" ht="15.75" x14ac:dyDescent="0.25">
      <c r="G60" s="112"/>
      <c r="H60" s="118"/>
      <c r="I60" s="53"/>
      <c r="J60" s="255"/>
      <c r="K60" s="256"/>
    </row>
    <row r="61" spans="7:11" ht="15.75" x14ac:dyDescent="0.25">
      <c r="H61" s="118"/>
      <c r="I61" s="120"/>
      <c r="J61" s="255"/>
      <c r="K61" s="256"/>
    </row>
    <row r="62" spans="7:11" ht="15.75" x14ac:dyDescent="0.25">
      <c r="H62" s="118"/>
      <c r="I62" s="53"/>
      <c r="J62" s="257"/>
      <c r="K62" s="257"/>
    </row>
    <row r="63" spans="7:11" ht="15.75" x14ac:dyDescent="0.25">
      <c r="H63" s="118"/>
      <c r="I63" s="53"/>
      <c r="J63" s="255"/>
      <c r="K63" s="256"/>
    </row>
    <row r="64" spans="7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ht="15.75" x14ac:dyDescent="0.25">
      <c r="H77" s="118"/>
      <c r="I77" s="53"/>
      <c r="J77" s="253"/>
      <c r="K77" s="254"/>
    </row>
    <row r="78" spans="8:11" ht="15.75" x14ac:dyDescent="0.25">
      <c r="H78" s="118"/>
      <c r="I78" s="53"/>
      <c r="J78" s="253"/>
      <c r="K78" s="254"/>
    </row>
    <row r="79" spans="8:11" x14ac:dyDescent="0.25">
      <c r="I79" s="57">
        <f>SUM(I36:I69)</f>
        <v>41597.919999999998</v>
      </c>
    </row>
  </sheetData>
  <mergeCells count="73">
    <mergeCell ref="J78:K78"/>
    <mergeCell ref="J72:K72"/>
    <mergeCell ref="J73:K73"/>
    <mergeCell ref="J74:K74"/>
    <mergeCell ref="J75:K75"/>
    <mergeCell ref="J76:K76"/>
    <mergeCell ref="J77:K77"/>
    <mergeCell ref="J71:K71"/>
    <mergeCell ref="J60:K60"/>
    <mergeCell ref="J61:K61"/>
    <mergeCell ref="J62:K62"/>
    <mergeCell ref="J63:K63"/>
    <mergeCell ref="J64:K64"/>
    <mergeCell ref="J65:K65"/>
    <mergeCell ref="J66:K66"/>
    <mergeCell ref="J67:K67"/>
    <mergeCell ref="J68:K68"/>
    <mergeCell ref="J69:K69"/>
    <mergeCell ref="J70:K70"/>
    <mergeCell ref="J59:K59"/>
    <mergeCell ref="J48:K48"/>
    <mergeCell ref="J49:K49"/>
    <mergeCell ref="J50:K50"/>
    <mergeCell ref="J51:K51"/>
    <mergeCell ref="J52:K52"/>
    <mergeCell ref="J53:K53"/>
    <mergeCell ref="J54:K54"/>
    <mergeCell ref="J55:K55"/>
    <mergeCell ref="J56:K56"/>
    <mergeCell ref="J57:K57"/>
    <mergeCell ref="J58:K58"/>
    <mergeCell ref="J47:K4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J45:K45"/>
    <mergeCell ref="J46:K46"/>
    <mergeCell ref="J37:K37"/>
    <mergeCell ref="D29:E29"/>
    <mergeCell ref="J29:K29"/>
    <mergeCell ref="L29:M29"/>
    <mergeCell ref="J30:K30"/>
    <mergeCell ref="L30:M30"/>
    <mergeCell ref="L31:M31"/>
    <mergeCell ref="H34:K34"/>
    <mergeCell ref="L34:M34"/>
    <mergeCell ref="J35:K35"/>
    <mergeCell ref="L35:M35"/>
    <mergeCell ref="J36:K36"/>
    <mergeCell ref="D21:F21"/>
    <mergeCell ref="J24:K24"/>
    <mergeCell ref="J25:K25"/>
    <mergeCell ref="J26:K26"/>
    <mergeCell ref="I27:M27"/>
    <mergeCell ref="L28:M28"/>
    <mergeCell ref="J3:K3"/>
    <mergeCell ref="J5:K5"/>
    <mergeCell ref="J6:K6"/>
    <mergeCell ref="J7:K7"/>
    <mergeCell ref="D12:F12"/>
    <mergeCell ref="A17:B17"/>
    <mergeCell ref="A1:B1"/>
    <mergeCell ref="D1:F1"/>
    <mergeCell ref="H1:M1"/>
    <mergeCell ref="A2:B2"/>
    <mergeCell ref="D2:F2"/>
    <mergeCell ref="J2:K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Planilha65"/>
  <dimension ref="A1:M79"/>
  <sheetViews>
    <sheetView topLeftCell="G3" zoomScale="85" zoomScaleNormal="85" workbookViewId="0">
      <selection activeCell="I30" sqref="I30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1486</v>
      </c>
      <c r="B1" s="184"/>
      <c r="C1" s="10"/>
      <c r="D1" s="229" t="s">
        <v>55</v>
      </c>
      <c r="E1" s="230"/>
      <c r="F1" s="231"/>
      <c r="H1" s="184" t="s">
        <v>1942</v>
      </c>
      <c r="I1" s="184"/>
      <c r="J1" s="184"/>
      <c r="K1" s="184"/>
      <c r="L1" s="184"/>
      <c r="M1" s="184"/>
    </row>
    <row r="2" spans="1:13" ht="19.5" thickBot="1" x14ac:dyDescent="0.35">
      <c r="A2" s="184" t="s">
        <v>1941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74667.709999999992</v>
      </c>
      <c r="C3" s="11"/>
      <c r="D3" s="91" t="s">
        <v>1</v>
      </c>
      <c r="E3" s="91" t="s">
        <v>6</v>
      </c>
      <c r="F3" s="92" t="s">
        <v>13</v>
      </c>
      <c r="H3" s="6">
        <v>44386</v>
      </c>
      <c r="I3" s="58">
        <v>1000</v>
      </c>
      <c r="J3" s="187" t="s">
        <v>277</v>
      </c>
      <c r="K3" s="188"/>
      <c r="L3" s="8" t="s">
        <v>1953</v>
      </c>
      <c r="M3" s="8" t="s">
        <v>267</v>
      </c>
    </row>
    <row r="4" spans="1:13" ht="15.75" x14ac:dyDescent="0.25">
      <c r="A4" s="2"/>
      <c r="B4" s="3"/>
      <c r="C4" s="11"/>
      <c r="D4" s="73">
        <v>44203</v>
      </c>
      <c r="E4" s="107">
        <v>92.66</v>
      </c>
      <c r="F4" s="74" t="s">
        <v>1944</v>
      </c>
      <c r="G4" s="114" t="e">
        <f ca="1">gfSumIfColor(E4:E10,gfCelColorName(E4))</f>
        <v>#NAME?</v>
      </c>
      <c r="H4" s="6">
        <v>44390</v>
      </c>
      <c r="I4" s="97">
        <v>6000</v>
      </c>
      <c r="J4" s="36"/>
      <c r="K4" s="37"/>
      <c r="L4" s="8" t="s">
        <v>1955</v>
      </c>
      <c r="M4" s="8" t="s">
        <v>267</v>
      </c>
    </row>
    <row r="5" spans="1:13" ht="15.75" x14ac:dyDescent="0.25">
      <c r="A5" s="2" t="s">
        <v>4</v>
      </c>
      <c r="B5" s="3">
        <f>SUM(I36:I78)</f>
        <v>24460.17</v>
      </c>
      <c r="C5" s="11"/>
      <c r="D5" s="76">
        <v>44204</v>
      </c>
      <c r="E5" s="107">
        <v>550.88</v>
      </c>
      <c r="F5" s="86" t="s">
        <v>1945</v>
      </c>
      <c r="H5" s="6">
        <v>44390</v>
      </c>
      <c r="I5" s="58">
        <v>500</v>
      </c>
      <c r="J5" s="187" t="s">
        <v>379</v>
      </c>
      <c r="K5" s="188"/>
      <c r="L5" s="8" t="s">
        <v>1896</v>
      </c>
      <c r="M5" s="8" t="s">
        <v>267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1946</v>
      </c>
      <c r="H6" s="6">
        <v>44390</v>
      </c>
      <c r="I6" s="58">
        <v>1000</v>
      </c>
      <c r="J6" s="187" t="s">
        <v>1956</v>
      </c>
      <c r="K6" s="188"/>
      <c r="L6" s="36" t="s">
        <v>1973</v>
      </c>
      <c r="M6" s="8" t="s">
        <v>267</v>
      </c>
    </row>
    <row r="7" spans="1:13" ht="15.75" x14ac:dyDescent="0.25">
      <c r="A7" s="12" t="s">
        <v>5</v>
      </c>
      <c r="B7" s="25">
        <f>B3+B4-B5</f>
        <v>50207.539999999994</v>
      </c>
      <c r="C7" s="11"/>
      <c r="D7" s="73"/>
      <c r="E7" s="53">
        <v>-150</v>
      </c>
      <c r="F7" s="74" t="s">
        <v>1971</v>
      </c>
      <c r="H7" s="6">
        <v>44390</v>
      </c>
      <c r="I7" s="97">
        <v>200</v>
      </c>
      <c r="J7" s="187" t="s">
        <v>1957</v>
      </c>
      <c r="K7" s="188"/>
      <c r="L7" s="8" t="s">
        <v>1670</v>
      </c>
      <c r="M7" s="8" t="s">
        <v>268</v>
      </c>
    </row>
    <row r="8" spans="1:13" ht="15.75" x14ac:dyDescent="0.25">
      <c r="A8" s="2"/>
      <c r="B8" s="3"/>
      <c r="C8" s="11"/>
      <c r="D8" s="138">
        <v>44396</v>
      </c>
      <c r="E8" s="137">
        <v>43</v>
      </c>
      <c r="F8" s="74" t="s">
        <v>1988</v>
      </c>
      <c r="H8" s="6">
        <v>44403</v>
      </c>
      <c r="I8" s="58">
        <v>500</v>
      </c>
      <c r="J8" s="36" t="s">
        <v>1956</v>
      </c>
      <c r="K8" s="37"/>
      <c r="L8" s="8" t="s">
        <v>2254</v>
      </c>
      <c r="M8" s="8" t="s">
        <v>267</v>
      </c>
    </row>
    <row r="9" spans="1:13" ht="15.75" x14ac:dyDescent="0.25">
      <c r="A9" s="2"/>
      <c r="B9" s="3"/>
      <c r="C9" s="11"/>
      <c r="D9" s="138">
        <v>44396</v>
      </c>
      <c r="E9" s="53">
        <v>113.17</v>
      </c>
      <c r="F9" s="88" t="s">
        <v>1989</v>
      </c>
      <c r="G9" s="42"/>
      <c r="H9" s="6">
        <v>44399</v>
      </c>
      <c r="I9" s="97">
        <v>3500</v>
      </c>
      <c r="J9" s="36"/>
      <c r="K9" s="37"/>
      <c r="L9" s="8" t="s">
        <v>1963</v>
      </c>
      <c r="M9" s="8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6">
        <v>44403</v>
      </c>
      <c r="I10" s="97">
        <v>500</v>
      </c>
      <c r="J10" s="36"/>
      <c r="K10" s="37"/>
      <c r="L10" s="8" t="s">
        <v>1962</v>
      </c>
      <c r="M10" s="8" t="s">
        <v>267</v>
      </c>
    </row>
    <row r="11" spans="1:13" ht="16.5" thickBot="1" x14ac:dyDescent="0.3">
      <c r="A11" s="2" t="s">
        <v>59</v>
      </c>
      <c r="B11" s="3">
        <f>(B7-B9)/2</f>
        <v>25103.769999999997</v>
      </c>
      <c r="C11" s="11"/>
      <c r="D11" s="80" t="s">
        <v>23</v>
      </c>
      <c r="E11" s="81">
        <f>SUM(E4:E10)</f>
        <v>740.18999999999994</v>
      </c>
      <c r="F11" s="82"/>
      <c r="H11" s="6">
        <v>44403</v>
      </c>
      <c r="I11" s="97">
        <v>500</v>
      </c>
      <c r="J11" s="36"/>
      <c r="K11" s="37"/>
      <c r="L11" s="8" t="s">
        <v>1922</v>
      </c>
      <c r="M11" s="8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H12" s="6">
        <v>44405</v>
      </c>
      <c r="I12" s="58">
        <v>500</v>
      </c>
      <c r="J12" s="36"/>
      <c r="K12" s="37"/>
      <c r="L12" s="8" t="s">
        <v>1896</v>
      </c>
      <c r="M12" s="8" t="s">
        <v>267</v>
      </c>
    </row>
    <row r="13" spans="1:13" ht="15.75" x14ac:dyDescent="0.25">
      <c r="A13" s="2"/>
      <c r="B13" s="3"/>
      <c r="C13" s="11"/>
      <c r="D13" s="148">
        <v>44392</v>
      </c>
      <c r="E13" s="149">
        <v>-143.55000000000001</v>
      </c>
      <c r="F13" s="150" t="s">
        <v>158</v>
      </c>
      <c r="H13" s="6">
        <v>44413</v>
      </c>
      <c r="I13" s="58">
        <v>300</v>
      </c>
      <c r="J13" s="36"/>
      <c r="K13" s="37"/>
      <c r="L13" s="36" t="s">
        <v>1889</v>
      </c>
      <c r="M13" s="8" t="s">
        <v>267</v>
      </c>
    </row>
    <row r="14" spans="1:13" ht="15.75" x14ac:dyDescent="0.25">
      <c r="A14" s="2"/>
      <c r="B14" s="3"/>
      <c r="C14" s="11"/>
      <c r="D14" s="73"/>
      <c r="E14" s="120"/>
      <c r="F14" s="151"/>
      <c r="H14" s="6">
        <v>44417</v>
      </c>
      <c r="I14" s="58">
        <v>500</v>
      </c>
      <c r="J14" s="36" t="s">
        <v>165</v>
      </c>
      <c r="K14" s="37"/>
      <c r="L14" s="36" t="s">
        <v>1973</v>
      </c>
      <c r="M14" s="8" t="s">
        <v>267</v>
      </c>
    </row>
    <row r="15" spans="1:13" ht="16.5" thickBot="1" x14ac:dyDescent="0.3">
      <c r="A15" s="2"/>
      <c r="B15" s="3"/>
      <c r="C15" s="11"/>
      <c r="D15" s="76"/>
      <c r="E15" s="120"/>
      <c r="F15" s="151"/>
      <c r="H15" s="6">
        <v>44386</v>
      </c>
      <c r="I15" s="120">
        <v>1000</v>
      </c>
      <c r="J15" s="36"/>
      <c r="K15" s="37"/>
      <c r="L15" s="36" t="s">
        <v>1974</v>
      </c>
      <c r="M15" s="8" t="s">
        <v>267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-143.55000000000001</v>
      </c>
      <c r="F16" s="82"/>
      <c r="H16" s="6">
        <v>44398</v>
      </c>
      <c r="I16" s="120">
        <v>500</v>
      </c>
      <c r="J16" s="36"/>
      <c r="K16" s="37"/>
      <c r="L16" s="8" t="s">
        <v>1975</v>
      </c>
      <c r="M16" s="8" t="s">
        <v>267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6">
        <v>44410</v>
      </c>
      <c r="I17" s="120">
        <v>17672.29</v>
      </c>
      <c r="J17" s="36" t="s">
        <v>1977</v>
      </c>
      <c r="K17" s="37"/>
      <c r="L17" s="8" t="s">
        <v>1976</v>
      </c>
      <c r="M17" s="8" t="s">
        <v>268</v>
      </c>
    </row>
    <row r="18" spans="1:13" ht="15.75" x14ac:dyDescent="0.25">
      <c r="A18" s="2"/>
      <c r="B18" s="3"/>
      <c r="C18" s="1"/>
      <c r="D18" s="76">
        <v>44396</v>
      </c>
      <c r="E18" s="120">
        <v>-110</v>
      </c>
      <c r="F18" s="150" t="s">
        <v>1967</v>
      </c>
      <c r="G18" s="121"/>
      <c r="H18" s="6">
        <v>44413</v>
      </c>
      <c r="I18" s="120">
        <v>400</v>
      </c>
      <c r="J18" s="36" t="s">
        <v>46</v>
      </c>
      <c r="K18" s="37"/>
      <c r="L18" s="8" t="s">
        <v>2231</v>
      </c>
      <c r="M18" s="8" t="s">
        <v>268</v>
      </c>
    </row>
    <row r="19" spans="1:13" ht="15.75" x14ac:dyDescent="0.25">
      <c r="A19" s="2" t="s">
        <v>57</v>
      </c>
      <c r="B19" s="3" t="e">
        <f ca="1">B11-E11+M41</f>
        <v>#NAME?</v>
      </c>
      <c r="C19" s="1"/>
      <c r="D19" s="76">
        <v>44397</v>
      </c>
      <c r="E19" s="120">
        <v>-109.85</v>
      </c>
      <c r="F19" s="151" t="s">
        <v>1676</v>
      </c>
      <c r="H19" s="6">
        <v>44418</v>
      </c>
      <c r="I19" s="120">
        <v>15000</v>
      </c>
      <c r="J19" s="36" t="s">
        <v>46</v>
      </c>
      <c r="K19" s="37"/>
      <c r="L19" s="8" t="s">
        <v>1978</v>
      </c>
      <c r="M19" s="8" t="s">
        <v>268</v>
      </c>
    </row>
    <row r="20" spans="1:13" ht="15.75" x14ac:dyDescent="0.25">
      <c r="A20" s="2" t="s">
        <v>12</v>
      </c>
      <c r="B20" s="3" t="e">
        <f ca="1">B11+G4+M40-E16</f>
        <v>#NAME?</v>
      </c>
      <c r="C20" s="1"/>
      <c r="D20" s="76">
        <v>44397</v>
      </c>
      <c r="E20" s="120">
        <v>-13.9</v>
      </c>
      <c r="F20" s="151" t="s">
        <v>1994</v>
      </c>
      <c r="H20" s="6">
        <v>44418</v>
      </c>
      <c r="I20" s="120">
        <v>6086.96</v>
      </c>
      <c r="J20" s="36" t="s">
        <v>1904</v>
      </c>
      <c r="K20" s="37"/>
      <c r="L20" s="8" t="s">
        <v>1979</v>
      </c>
      <c r="M20" s="8" t="s">
        <v>268</v>
      </c>
    </row>
    <row r="21" spans="1:13" ht="15.75" x14ac:dyDescent="0.25">
      <c r="A21" s="2"/>
      <c r="B21" s="3"/>
      <c r="C21" s="1"/>
      <c r="D21" s="76">
        <v>44397</v>
      </c>
      <c r="E21" s="120">
        <v>-84.9</v>
      </c>
      <c r="F21" s="151" t="s">
        <v>1995</v>
      </c>
      <c r="H21" s="6">
        <v>44418</v>
      </c>
      <c r="I21" s="120">
        <v>713</v>
      </c>
      <c r="J21" s="36" t="s">
        <v>1904</v>
      </c>
      <c r="K21" s="37"/>
      <c r="L21" s="8" t="s">
        <v>1908</v>
      </c>
      <c r="M21" s="8" t="s">
        <v>268</v>
      </c>
    </row>
    <row r="22" spans="1:13" ht="15.75" x14ac:dyDescent="0.25">
      <c r="A22" s="2"/>
      <c r="B22" s="2"/>
      <c r="C22" s="1"/>
      <c r="D22" s="76">
        <v>44396</v>
      </c>
      <c r="E22" s="120">
        <v>-88</v>
      </c>
      <c r="F22" s="151" t="s">
        <v>1888</v>
      </c>
      <c r="H22" s="6">
        <v>44418</v>
      </c>
      <c r="I22" s="120">
        <v>15345.46</v>
      </c>
      <c r="J22" s="36" t="s">
        <v>1904</v>
      </c>
      <c r="K22" s="37"/>
      <c r="L22" s="8" t="s">
        <v>1980</v>
      </c>
      <c r="M22" s="8" t="s">
        <v>268</v>
      </c>
    </row>
    <row r="23" spans="1:13" ht="15.75" x14ac:dyDescent="0.25">
      <c r="A23" s="1"/>
      <c r="B23" s="1"/>
      <c r="C23" s="1"/>
      <c r="D23" s="76">
        <v>44397</v>
      </c>
      <c r="E23" s="120">
        <v>-82</v>
      </c>
      <c r="F23" s="151" t="s">
        <v>1888</v>
      </c>
      <c r="G23" s="1"/>
      <c r="H23" s="6">
        <v>44414</v>
      </c>
      <c r="I23" s="120">
        <v>1950</v>
      </c>
      <c r="J23" s="36" t="s">
        <v>46</v>
      </c>
      <c r="K23" s="37"/>
      <c r="L23" s="8" t="s">
        <v>1981</v>
      </c>
      <c r="M23" s="8" t="s">
        <v>268</v>
      </c>
    </row>
    <row r="24" spans="1:13" ht="15.75" x14ac:dyDescent="0.25">
      <c r="A24" s="1"/>
      <c r="B24" s="1"/>
      <c r="C24" s="1"/>
      <c r="D24" s="76">
        <v>44399</v>
      </c>
      <c r="E24" s="120">
        <v>-8.4</v>
      </c>
      <c r="F24" s="151" t="s">
        <v>1964</v>
      </c>
      <c r="G24" s="77"/>
      <c r="H24" s="6">
        <v>44414</v>
      </c>
      <c r="I24" s="120">
        <v>1000</v>
      </c>
      <c r="J24" s="187" t="s">
        <v>1982</v>
      </c>
      <c r="K24" s="188"/>
      <c r="L24" s="8" t="s">
        <v>1983</v>
      </c>
      <c r="M24" s="8" t="s">
        <v>268</v>
      </c>
    </row>
    <row r="25" spans="1:13" ht="15.75" x14ac:dyDescent="0.25">
      <c r="A25" s="1"/>
      <c r="B25" s="1"/>
      <c r="C25" s="1"/>
      <c r="D25" s="144">
        <v>44398</v>
      </c>
      <c r="E25" s="120">
        <v>-38</v>
      </c>
      <c r="F25" s="151" t="s">
        <v>1888</v>
      </c>
      <c r="G25" s="1"/>
      <c r="H25" s="6"/>
      <c r="I25" s="120"/>
      <c r="J25" s="187"/>
      <c r="K25" s="188"/>
      <c r="L25" s="8"/>
      <c r="M25" s="8"/>
    </row>
    <row r="26" spans="1:13" ht="15.75" x14ac:dyDescent="0.25">
      <c r="A26" s="1"/>
      <c r="B26" s="1"/>
      <c r="C26" s="1"/>
      <c r="D26" s="76">
        <v>44398</v>
      </c>
      <c r="E26" s="120">
        <v>-43</v>
      </c>
      <c r="F26" s="151" t="s">
        <v>1996</v>
      </c>
      <c r="G26" s="1"/>
      <c r="H26" s="6"/>
      <c r="I26" s="7"/>
      <c r="J26" s="187"/>
      <c r="K26" s="188"/>
      <c r="L26" s="8"/>
      <c r="M26" s="8"/>
    </row>
    <row r="27" spans="1:13" ht="18.75" x14ac:dyDescent="0.3">
      <c r="A27" s="17"/>
      <c r="B27" s="17"/>
      <c r="C27" s="17"/>
      <c r="D27" s="76">
        <v>44399</v>
      </c>
      <c r="E27" s="120">
        <v>-90</v>
      </c>
      <c r="F27" s="151" t="s">
        <v>1888</v>
      </c>
      <c r="G27" s="9"/>
      <c r="H27" s="6" t="s">
        <v>23</v>
      </c>
      <c r="I27" s="193">
        <f>SUM(I3:I26)</f>
        <v>74667.709999999992</v>
      </c>
      <c r="J27" s="194"/>
      <c r="K27" s="194"/>
      <c r="L27" s="194"/>
      <c r="M27" s="195"/>
    </row>
    <row r="28" spans="1:13" ht="15.75" x14ac:dyDescent="0.25">
      <c r="A28" s="63"/>
      <c r="B28" s="63"/>
      <c r="C28" s="63"/>
      <c r="D28" s="144">
        <v>44400</v>
      </c>
      <c r="E28" s="120">
        <v>-77.8</v>
      </c>
      <c r="F28" s="151" t="s">
        <v>1965</v>
      </c>
      <c r="J28" s="1"/>
      <c r="K28" s="1"/>
      <c r="L28" s="196"/>
      <c r="M28" s="196"/>
    </row>
    <row r="29" spans="1:13" ht="15.75" x14ac:dyDescent="0.25">
      <c r="A29" s="63"/>
      <c r="B29" s="63"/>
      <c r="C29" s="63"/>
      <c r="D29" s="144">
        <v>44401</v>
      </c>
      <c r="E29" s="120">
        <v>-42</v>
      </c>
      <c r="F29" s="151" t="s">
        <v>1888</v>
      </c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63"/>
      <c r="B30" s="63"/>
      <c r="C30" s="63"/>
      <c r="D30" s="76">
        <v>44401</v>
      </c>
      <c r="E30" s="120">
        <v>-15.9</v>
      </c>
      <c r="F30" s="151" t="s">
        <v>1966</v>
      </c>
      <c r="J30" s="180" t="s">
        <v>65</v>
      </c>
      <c r="K30" s="180"/>
      <c r="L30" s="180" t="s">
        <v>67</v>
      </c>
      <c r="M30" s="180"/>
    </row>
    <row r="31" spans="1:13" ht="15.75" x14ac:dyDescent="0.25">
      <c r="A31" s="63"/>
      <c r="B31" s="63"/>
      <c r="C31" s="63"/>
      <c r="D31" s="155">
        <v>44386</v>
      </c>
      <c r="E31" s="156">
        <v>14.99</v>
      </c>
      <c r="F31" s="157" t="s">
        <v>1993</v>
      </c>
      <c r="H31" s="57"/>
      <c r="L31" s="180"/>
      <c r="M31" s="180"/>
    </row>
    <row r="32" spans="1:13" ht="15.75" x14ac:dyDescent="0.25">
      <c r="A32" s="63"/>
      <c r="B32" s="63"/>
      <c r="C32" s="63"/>
      <c r="D32" s="155">
        <v>44400</v>
      </c>
      <c r="E32" s="156">
        <v>-36</v>
      </c>
      <c r="F32" s="157" t="s">
        <v>1997</v>
      </c>
      <c r="L32" s="18"/>
      <c r="M32" s="18"/>
    </row>
    <row r="33" spans="1:13" ht="15.75" x14ac:dyDescent="0.25">
      <c r="A33" s="63"/>
      <c r="B33" s="63"/>
      <c r="C33" s="63"/>
      <c r="D33" s="155">
        <v>44401</v>
      </c>
      <c r="E33" s="156">
        <v>-15.9</v>
      </c>
      <c r="F33" s="157" t="s">
        <v>1998</v>
      </c>
      <c r="L33" s="18"/>
      <c r="M33" s="18"/>
    </row>
    <row r="34" spans="1:13" ht="18.75" x14ac:dyDescent="0.3">
      <c r="A34" s="63"/>
      <c r="B34" s="63"/>
      <c r="C34" s="63"/>
      <c r="D34" s="155">
        <v>44415</v>
      </c>
      <c r="E34" s="156">
        <v>-22</v>
      </c>
      <c r="F34" s="157" t="s">
        <v>1997</v>
      </c>
      <c r="H34" s="184" t="s">
        <v>2024</v>
      </c>
      <c r="I34" s="184"/>
      <c r="J34" s="184"/>
      <c r="K34" s="184"/>
      <c r="L34" s="180"/>
      <c r="M34" s="180"/>
    </row>
    <row r="35" spans="1:13" ht="15.75" x14ac:dyDescent="0.25">
      <c r="A35" s="63"/>
      <c r="B35" s="63"/>
      <c r="C35" s="63"/>
      <c r="D35" s="155">
        <v>44405</v>
      </c>
      <c r="E35" s="156">
        <v>-157.5</v>
      </c>
      <c r="F35" s="157" t="s">
        <v>1999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6.5" thickBot="1" x14ac:dyDescent="0.3">
      <c r="A36" s="17"/>
      <c r="B36" s="29"/>
      <c r="C36" s="29"/>
      <c r="D36" s="152">
        <v>44403</v>
      </c>
      <c r="E36" s="153">
        <v>-46.8</v>
      </c>
      <c r="F36" s="154" t="s">
        <v>1970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6.5" thickBot="1" x14ac:dyDescent="0.3">
      <c r="A37" s="17"/>
      <c r="B37" s="17"/>
      <c r="C37" s="17"/>
      <c r="D37" s="145" t="s">
        <v>23</v>
      </c>
      <c r="E37" s="146">
        <f>SUM(E18:E36)</f>
        <v>-1066.9599999999998</v>
      </c>
      <c r="F37" s="147"/>
      <c r="H37" s="118"/>
      <c r="I37" s="109">
        <f>1000-E37</f>
        <v>2066.96</v>
      </c>
      <c r="J37" s="253" t="s">
        <v>1719</v>
      </c>
      <c r="K37" s="254"/>
      <c r="L37" s="18"/>
      <c r="M37" s="18"/>
    </row>
    <row r="38" spans="1:13" ht="16.5" thickBot="1" x14ac:dyDescent="0.3">
      <c r="A38" s="18"/>
      <c r="B38" s="18"/>
      <c r="C38" s="18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6.5" thickBot="1" x14ac:dyDescent="0.3">
      <c r="A39" s="258" t="s">
        <v>1744</v>
      </c>
      <c r="B39" s="259"/>
      <c r="C39" s="141">
        <v>44388</v>
      </c>
      <c r="D39" s="65" t="s">
        <v>1748</v>
      </c>
      <c r="E39" s="66" t="s">
        <v>1749</v>
      </c>
      <c r="H39" s="118">
        <v>44392</v>
      </c>
      <c r="I39" s="109">
        <v>136.94</v>
      </c>
      <c r="J39" s="257" t="s">
        <v>1800</v>
      </c>
      <c r="K39" s="257"/>
      <c r="L39" s="180"/>
      <c r="M39" s="180"/>
    </row>
    <row r="40" spans="1:13" ht="15.75" x14ac:dyDescent="0.25">
      <c r="A40" s="59" t="s">
        <v>1745</v>
      </c>
      <c r="B40" s="93"/>
      <c r="C40" s="94">
        <v>2943.18</v>
      </c>
      <c r="D40" s="95" t="e">
        <f ca="1">gfSumIfColor(I3:I26,gfCelColorName(B40))</f>
        <v>#NAME?</v>
      </c>
      <c r="E40" s="96" t="e">
        <f ca="1">C36+D40</f>
        <v>#NAME?</v>
      </c>
      <c r="H40" s="118">
        <v>44279</v>
      </c>
      <c r="I40" s="109">
        <v>148.85</v>
      </c>
      <c r="J40" s="253" t="s">
        <v>1947</v>
      </c>
      <c r="K40" s="254"/>
      <c r="L40" s="100" t="s">
        <v>1754</v>
      </c>
      <c r="M40" s="102" t="e">
        <f ca="1">gfSumIfColor(I36:I75,gfCelColorName(L40))</f>
        <v>#NAME?</v>
      </c>
    </row>
    <row r="41" spans="1:13" ht="16.5" thickBot="1" x14ac:dyDescent="0.3">
      <c r="A41" s="60" t="s">
        <v>1746</v>
      </c>
      <c r="B41" s="61"/>
      <c r="C41" s="61">
        <v>2660</v>
      </c>
      <c r="D41" s="69" t="e">
        <f ca="1">gfSumIfColor(I3:I26,gfCelColorName(B41))</f>
        <v>#NAME?</v>
      </c>
      <c r="E41" s="67" t="e">
        <f ca="1">C37+D41</f>
        <v>#NAME?</v>
      </c>
      <c r="H41" s="118">
        <v>44160</v>
      </c>
      <c r="I41" s="99">
        <v>411.97</v>
      </c>
      <c r="J41" s="257" t="s">
        <v>1948</v>
      </c>
      <c r="K41" s="257"/>
      <c r="L41" s="105" t="s">
        <v>1756</v>
      </c>
      <c r="M41" s="122" t="e">
        <f ca="1">gfSumIfColor(I36:I75,gfCelColorName(L41))</f>
        <v>#NAME?</v>
      </c>
    </row>
    <row r="42" spans="1:13" ht="16.5" thickBot="1" x14ac:dyDescent="0.3">
      <c r="A42" s="17"/>
      <c r="B42" s="17"/>
      <c r="C42" s="72">
        <f>C40+C41</f>
        <v>5603.18</v>
      </c>
      <c r="D42" s="71" t="e">
        <f ca="1">D40+D41</f>
        <v>#NAME?</v>
      </c>
      <c r="E42" s="68" t="e">
        <f ca="1">E40+E41</f>
        <v>#NAME?</v>
      </c>
      <c r="G42" s="112"/>
      <c r="H42" s="118">
        <v>44560</v>
      </c>
      <c r="I42" s="99">
        <v>281.10000000000002</v>
      </c>
      <c r="J42" s="253" t="s">
        <v>1949</v>
      </c>
      <c r="K42" s="254"/>
      <c r="L42" s="110" t="s">
        <v>1759</v>
      </c>
      <c r="M42" s="102" t="e">
        <f ca="1">gfSumIfColor(I36:I75,gfCelColorName(L42))</f>
        <v>#NAME?</v>
      </c>
    </row>
    <row r="43" spans="1:13" ht="15.75" x14ac:dyDescent="0.25">
      <c r="H43" s="118">
        <v>44218</v>
      </c>
      <c r="I43" s="99">
        <v>316.77</v>
      </c>
      <c r="J43" s="253" t="s">
        <v>1949</v>
      </c>
      <c r="K43" s="254"/>
      <c r="L43" s="111" t="s">
        <v>1760</v>
      </c>
      <c r="M43" s="113" t="e">
        <f ca="1">gfSumIfColor(I36:I75,gfCelColorName(L43))</f>
        <v>#NAME?</v>
      </c>
    </row>
    <row r="44" spans="1:13" ht="15.75" x14ac:dyDescent="0.25">
      <c r="H44" s="118">
        <v>44267</v>
      </c>
      <c r="I44" s="109">
        <v>196.54</v>
      </c>
      <c r="J44" s="255" t="s">
        <v>1950</v>
      </c>
      <c r="K44" s="256"/>
    </row>
    <row r="45" spans="1:13" ht="15.75" x14ac:dyDescent="0.25">
      <c r="F45" t="s">
        <v>2090</v>
      </c>
      <c r="H45" s="118">
        <v>44376</v>
      </c>
      <c r="I45" s="109">
        <v>739.8</v>
      </c>
      <c r="J45" s="257" t="s">
        <v>1951</v>
      </c>
      <c r="K45" s="257"/>
    </row>
    <row r="46" spans="1:13" ht="15.75" x14ac:dyDescent="0.25">
      <c r="F46" s="57">
        <f>SUM(I40:I44,I51,I52,I54,I55,I59:I62,I64,I70)</f>
        <v>14283.22</v>
      </c>
      <c r="H46" s="118">
        <v>44376</v>
      </c>
      <c r="I46" s="99">
        <v>169</v>
      </c>
      <c r="J46" s="253" t="s">
        <v>1952</v>
      </c>
      <c r="K46" s="254"/>
    </row>
    <row r="47" spans="1:13" ht="15.75" x14ac:dyDescent="0.25">
      <c r="H47" s="118">
        <v>44389</v>
      </c>
      <c r="I47" s="109">
        <v>350</v>
      </c>
      <c r="J47" s="255" t="s">
        <v>1954</v>
      </c>
      <c r="K47" s="256"/>
    </row>
    <row r="48" spans="1:13" ht="15.75" x14ac:dyDescent="0.25">
      <c r="B48" s="158"/>
      <c r="C48" s="57"/>
      <c r="D48" s="205"/>
      <c r="E48" s="205"/>
      <c r="F48" s="205"/>
      <c r="H48" s="118">
        <v>44386</v>
      </c>
      <c r="I48" s="109">
        <v>234</v>
      </c>
      <c r="J48" s="255" t="s">
        <v>1938</v>
      </c>
      <c r="K48" s="256"/>
    </row>
    <row r="49" spans="1:11" ht="15.75" x14ac:dyDescent="0.25">
      <c r="B49" s="102"/>
      <c r="D49" s="42"/>
      <c r="E49" s="102"/>
      <c r="H49" s="118">
        <v>44386</v>
      </c>
      <c r="I49" s="109">
        <v>300</v>
      </c>
      <c r="J49" s="257" t="s">
        <v>1939</v>
      </c>
      <c r="K49" s="257"/>
    </row>
    <row r="50" spans="1:11" ht="15.75" x14ac:dyDescent="0.25">
      <c r="B50" s="57"/>
      <c r="D50" s="42"/>
      <c r="E50" s="102"/>
      <c r="H50" s="118">
        <v>44392</v>
      </c>
      <c r="I50" s="109">
        <v>283.44</v>
      </c>
      <c r="J50" s="255" t="s">
        <v>1958</v>
      </c>
      <c r="K50" s="256"/>
    </row>
    <row r="51" spans="1:11" ht="15.75" x14ac:dyDescent="0.25">
      <c r="D51" s="42"/>
      <c r="E51" s="102"/>
      <c r="H51" s="118">
        <v>44393</v>
      </c>
      <c r="I51" s="109">
        <v>1034.68</v>
      </c>
      <c r="J51" s="255" t="s">
        <v>1959</v>
      </c>
      <c r="K51" s="256"/>
    </row>
    <row r="52" spans="1:11" ht="15.75" x14ac:dyDescent="0.25">
      <c r="A52" s="57"/>
      <c r="D52" s="42"/>
      <c r="E52" s="102"/>
      <c r="H52" s="118">
        <v>44393</v>
      </c>
      <c r="I52" s="109">
        <v>85</v>
      </c>
      <c r="J52" s="255" t="s">
        <v>1960</v>
      </c>
      <c r="K52" s="256"/>
    </row>
    <row r="53" spans="1:11" ht="15.75" x14ac:dyDescent="0.25">
      <c r="D53" s="42"/>
      <c r="E53" s="102"/>
      <c r="H53" s="118">
        <v>44393</v>
      </c>
      <c r="I53" s="109">
        <v>19</v>
      </c>
      <c r="J53" s="257" t="s">
        <v>1961</v>
      </c>
      <c r="K53" s="257"/>
    </row>
    <row r="54" spans="1:11" ht="15.75" x14ac:dyDescent="0.25">
      <c r="D54" s="42"/>
      <c r="E54" s="102"/>
      <c r="H54" s="118">
        <v>44398</v>
      </c>
      <c r="I54" s="109">
        <v>80</v>
      </c>
      <c r="J54" s="253" t="s">
        <v>1968</v>
      </c>
      <c r="K54" s="254"/>
    </row>
    <row r="55" spans="1:11" ht="15.75" x14ac:dyDescent="0.25">
      <c r="D55" s="42"/>
      <c r="E55" s="102"/>
      <c r="H55" s="118">
        <v>44406</v>
      </c>
      <c r="I55" s="109">
        <v>750</v>
      </c>
      <c r="J55" s="253" t="s">
        <v>1969</v>
      </c>
      <c r="K55" s="254"/>
    </row>
    <row r="56" spans="1:11" ht="15.75" x14ac:dyDescent="0.25">
      <c r="D56" s="42"/>
      <c r="E56" s="102"/>
      <c r="H56" s="118">
        <v>44410</v>
      </c>
      <c r="I56" s="109">
        <v>101.56</v>
      </c>
      <c r="J56" s="255" t="s">
        <v>272</v>
      </c>
      <c r="K56" s="256"/>
    </row>
    <row r="57" spans="1:11" ht="15.75" x14ac:dyDescent="0.25">
      <c r="D57" s="42"/>
      <c r="E57" s="102"/>
      <c r="H57" s="118">
        <v>44417</v>
      </c>
      <c r="I57" s="109">
        <v>153.22999999999999</v>
      </c>
      <c r="J57" s="255" t="s">
        <v>1972</v>
      </c>
      <c r="K57" s="256"/>
    </row>
    <row r="58" spans="1:11" ht="15.75" x14ac:dyDescent="0.25">
      <c r="H58" s="118"/>
      <c r="I58" s="99">
        <v>400</v>
      </c>
      <c r="J58" s="257" t="s">
        <v>1984</v>
      </c>
      <c r="K58" s="257"/>
    </row>
    <row r="59" spans="1:11" ht="15.75" x14ac:dyDescent="0.25">
      <c r="H59" s="118">
        <v>44415</v>
      </c>
      <c r="I59" s="109">
        <v>595</v>
      </c>
      <c r="J59" s="255" t="s">
        <v>1985</v>
      </c>
      <c r="K59" s="256"/>
    </row>
    <row r="60" spans="1:11" ht="15.75" x14ac:dyDescent="0.25">
      <c r="G60" s="112"/>
      <c r="H60" s="118">
        <v>44400</v>
      </c>
      <c r="I60" s="109">
        <v>57.59</v>
      </c>
      <c r="J60" s="255" t="s">
        <v>1986</v>
      </c>
      <c r="K60" s="256"/>
    </row>
    <row r="61" spans="1:11" ht="15.75" x14ac:dyDescent="0.25">
      <c r="H61" s="118">
        <v>44394</v>
      </c>
      <c r="I61" s="97">
        <v>235.82</v>
      </c>
      <c r="J61" s="255" t="s">
        <v>1987</v>
      </c>
      <c r="K61" s="256"/>
    </row>
    <row r="62" spans="1:11" ht="15.75" x14ac:dyDescent="0.25">
      <c r="H62" s="118">
        <v>44400</v>
      </c>
      <c r="I62" s="109">
        <v>70</v>
      </c>
      <c r="J62" s="257" t="s">
        <v>1990</v>
      </c>
      <c r="K62" s="257"/>
    </row>
    <row r="63" spans="1:11" ht="15.75" x14ac:dyDescent="0.25">
      <c r="H63" s="118">
        <v>44410</v>
      </c>
      <c r="I63" s="109">
        <v>67</v>
      </c>
      <c r="J63" s="255" t="s">
        <v>1991</v>
      </c>
      <c r="K63" s="256"/>
    </row>
    <row r="64" spans="1:11" ht="15.75" x14ac:dyDescent="0.25">
      <c r="H64" s="118">
        <v>44412</v>
      </c>
      <c r="I64" s="109">
        <v>19.899999999999999</v>
      </c>
      <c r="J64" s="253" t="s">
        <v>1992</v>
      </c>
      <c r="K64" s="254"/>
    </row>
    <row r="65" spans="8:11" ht="15.75" x14ac:dyDescent="0.25">
      <c r="H65" s="118">
        <v>44419</v>
      </c>
      <c r="I65" s="109">
        <f>1800-(22*14.5)</f>
        <v>1481</v>
      </c>
      <c r="J65" s="253" t="s">
        <v>2000</v>
      </c>
      <c r="K65" s="254"/>
    </row>
    <row r="66" spans="8:11" ht="15.75" x14ac:dyDescent="0.25">
      <c r="H66" s="118">
        <v>44419</v>
      </c>
      <c r="I66" s="109">
        <v>198</v>
      </c>
      <c r="J66" s="253" t="s">
        <v>1938</v>
      </c>
      <c r="K66" s="254"/>
    </row>
    <row r="67" spans="8:11" ht="15.75" x14ac:dyDescent="0.25">
      <c r="H67" s="118">
        <v>44419</v>
      </c>
      <c r="I67" s="109">
        <v>350</v>
      </c>
      <c r="J67" s="253" t="s">
        <v>1954</v>
      </c>
      <c r="K67" s="254"/>
    </row>
    <row r="68" spans="8:11" ht="15.75" x14ac:dyDescent="0.25">
      <c r="H68" s="118">
        <v>44407</v>
      </c>
      <c r="I68" s="99">
        <v>263.3</v>
      </c>
      <c r="J68" s="253" t="s">
        <v>2001</v>
      </c>
      <c r="K68" s="254"/>
    </row>
    <row r="69" spans="8:11" ht="15.75" x14ac:dyDescent="0.25">
      <c r="H69" s="118">
        <v>44419</v>
      </c>
      <c r="I69" s="109">
        <v>681.82</v>
      </c>
      <c r="J69" s="253" t="s">
        <v>2002</v>
      </c>
      <c r="K69" s="254"/>
    </row>
    <row r="70" spans="8:11" ht="15.75" x14ac:dyDescent="0.25">
      <c r="H70" s="118">
        <v>44419</v>
      </c>
      <c r="I70" s="53">
        <v>10000</v>
      </c>
      <c r="J70" s="255" t="s">
        <v>1058</v>
      </c>
      <c r="K70" s="256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ht="15.75" x14ac:dyDescent="0.25">
      <c r="H77" s="118"/>
      <c r="I77" s="53"/>
      <c r="J77" s="253"/>
      <c r="K77" s="254"/>
    </row>
    <row r="78" spans="8:11" ht="15.75" x14ac:dyDescent="0.25">
      <c r="H78" s="118"/>
      <c r="I78" s="53"/>
      <c r="J78" s="253"/>
      <c r="K78" s="254"/>
    </row>
    <row r="79" spans="8:11" x14ac:dyDescent="0.25">
      <c r="I79" s="57">
        <f>SUM(I36:I78)</f>
        <v>24460.17</v>
      </c>
    </row>
  </sheetData>
  <mergeCells count="74">
    <mergeCell ref="D48:F48"/>
    <mergeCell ref="D12:F12"/>
    <mergeCell ref="A17:B17"/>
    <mergeCell ref="A1:B1"/>
    <mergeCell ref="D1:F1"/>
    <mergeCell ref="A39:B39"/>
    <mergeCell ref="H1:M1"/>
    <mergeCell ref="A2:B2"/>
    <mergeCell ref="D2:F2"/>
    <mergeCell ref="J2:K2"/>
    <mergeCell ref="D17:F17"/>
    <mergeCell ref="L28:M28"/>
    <mergeCell ref="J3:K3"/>
    <mergeCell ref="J5:K5"/>
    <mergeCell ref="J6:K6"/>
    <mergeCell ref="J7:K7"/>
    <mergeCell ref="J24:K24"/>
    <mergeCell ref="J25:K25"/>
    <mergeCell ref="J26:K26"/>
    <mergeCell ref="I27:M27"/>
    <mergeCell ref="J37:K37"/>
    <mergeCell ref="J29:K29"/>
    <mergeCell ref="L29:M29"/>
    <mergeCell ref="J30:K30"/>
    <mergeCell ref="L30:M30"/>
    <mergeCell ref="L31:M31"/>
    <mergeCell ref="H34:K34"/>
    <mergeCell ref="L34:M34"/>
    <mergeCell ref="J35:K35"/>
    <mergeCell ref="L35:M35"/>
    <mergeCell ref="J36:K36"/>
    <mergeCell ref="J47:K47"/>
    <mergeCell ref="J38:K38"/>
    <mergeCell ref="L38:M38"/>
    <mergeCell ref="J39:K39"/>
    <mergeCell ref="L39:M39"/>
    <mergeCell ref="J40:K40"/>
    <mergeCell ref="J41:K41"/>
    <mergeCell ref="J42:K42"/>
    <mergeCell ref="J43:K43"/>
    <mergeCell ref="J44:K44"/>
    <mergeCell ref="J45:K45"/>
    <mergeCell ref="J46:K46"/>
    <mergeCell ref="J59:K59"/>
    <mergeCell ref="J56:K56"/>
    <mergeCell ref="J57:K57"/>
    <mergeCell ref="J48:K48"/>
    <mergeCell ref="J49:K49"/>
    <mergeCell ref="J50:K50"/>
    <mergeCell ref="J51:K51"/>
    <mergeCell ref="J52:K52"/>
    <mergeCell ref="J58:K58"/>
    <mergeCell ref="J53:K53"/>
    <mergeCell ref="J54:K54"/>
    <mergeCell ref="J55:K55"/>
    <mergeCell ref="J78:K78"/>
    <mergeCell ref="J72:K72"/>
    <mergeCell ref="J73:K73"/>
    <mergeCell ref="J74:K74"/>
    <mergeCell ref="J75:K75"/>
    <mergeCell ref="J76:K76"/>
    <mergeCell ref="J77:K77"/>
    <mergeCell ref="J71:K71"/>
    <mergeCell ref="J60:K60"/>
    <mergeCell ref="J61:K61"/>
    <mergeCell ref="J62:K62"/>
    <mergeCell ref="J63:K63"/>
    <mergeCell ref="J64:K64"/>
    <mergeCell ref="J65:K65"/>
    <mergeCell ref="J66:K66"/>
    <mergeCell ref="J67:K67"/>
    <mergeCell ref="J68:K68"/>
    <mergeCell ref="J69:K69"/>
    <mergeCell ref="J70:K7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Planilha66"/>
  <dimension ref="A1:M79"/>
  <sheetViews>
    <sheetView topLeftCell="C1" zoomScale="85" zoomScaleNormal="85" workbookViewId="0">
      <selection activeCell="G15" sqref="G15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2017</v>
      </c>
      <c r="B1" s="184"/>
      <c r="C1" s="10"/>
      <c r="D1" s="229" t="s">
        <v>55</v>
      </c>
      <c r="E1" s="230"/>
      <c r="F1" s="231"/>
      <c r="H1" s="184" t="s">
        <v>2018</v>
      </c>
      <c r="I1" s="184"/>
      <c r="J1" s="184"/>
      <c r="K1" s="184"/>
      <c r="L1" s="184"/>
      <c r="M1" s="184"/>
    </row>
    <row r="2" spans="1:13" ht="19.5" thickBot="1" x14ac:dyDescent="0.35">
      <c r="A2" s="184" t="s">
        <v>629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29294.240000000002</v>
      </c>
      <c r="C3" s="11"/>
      <c r="D3" s="91" t="s">
        <v>1</v>
      </c>
      <c r="E3" s="91" t="s">
        <v>6</v>
      </c>
      <c r="F3" s="92" t="s">
        <v>13</v>
      </c>
      <c r="H3" s="6">
        <v>44431</v>
      </c>
      <c r="I3" s="97">
        <v>1400</v>
      </c>
      <c r="J3" s="187" t="s">
        <v>875</v>
      </c>
      <c r="K3" s="188"/>
      <c r="L3" s="8" t="s">
        <v>1924</v>
      </c>
      <c r="M3" s="8" t="s">
        <v>268</v>
      </c>
    </row>
    <row r="4" spans="1:13" ht="15.75" x14ac:dyDescent="0.25">
      <c r="A4" s="2"/>
      <c r="B4" s="3"/>
      <c r="C4" s="11"/>
      <c r="D4" s="73">
        <v>44203</v>
      </c>
      <c r="E4" s="107">
        <v>92.66</v>
      </c>
      <c r="F4" s="74" t="s">
        <v>2003</v>
      </c>
      <c r="G4" s="114" t="e">
        <f ca="1">gfSumIfColor(E4:E10,gfCelColorName(E4))</f>
        <v>#NAME?</v>
      </c>
      <c r="H4" s="6">
        <v>44431</v>
      </c>
      <c r="I4" s="97">
        <v>2000</v>
      </c>
      <c r="J4" s="36"/>
      <c r="K4" s="37"/>
      <c r="L4" s="8" t="s">
        <v>2053</v>
      </c>
      <c r="M4" s="8" t="s">
        <v>267</v>
      </c>
    </row>
    <row r="5" spans="1:13" ht="15.75" x14ac:dyDescent="0.25">
      <c r="A5" s="2" t="s">
        <v>4</v>
      </c>
      <c r="B5" s="3">
        <f>SUM(I36:I78)</f>
        <v>14954.09</v>
      </c>
      <c r="C5" s="11"/>
      <c r="D5" s="76">
        <v>44204</v>
      </c>
      <c r="E5" s="107">
        <v>550.88</v>
      </c>
      <c r="F5" s="86" t="s">
        <v>2004</v>
      </c>
      <c r="H5" s="6">
        <v>44432</v>
      </c>
      <c r="I5" s="159">
        <v>500</v>
      </c>
      <c r="J5" s="187" t="s">
        <v>2021</v>
      </c>
      <c r="K5" s="188"/>
      <c r="L5" s="8" t="s">
        <v>2022</v>
      </c>
      <c r="M5" s="8" t="s">
        <v>268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2005</v>
      </c>
      <c r="H6" s="6">
        <v>44433</v>
      </c>
      <c r="I6" s="97">
        <v>500</v>
      </c>
      <c r="J6" s="187"/>
      <c r="K6" s="188"/>
      <c r="L6" s="8" t="s">
        <v>1962</v>
      </c>
      <c r="M6" s="8" t="s">
        <v>267</v>
      </c>
    </row>
    <row r="7" spans="1:13" ht="15.75" x14ac:dyDescent="0.25">
      <c r="A7" s="12" t="s">
        <v>5</v>
      </c>
      <c r="B7" s="25">
        <f>B3+B4-B5</f>
        <v>14340.150000000001</v>
      </c>
      <c r="C7" s="11"/>
      <c r="D7" s="73">
        <v>44442</v>
      </c>
      <c r="E7" s="106">
        <v>1000</v>
      </c>
      <c r="F7" s="74" t="s">
        <v>1007</v>
      </c>
      <c r="H7" s="6">
        <v>44442</v>
      </c>
      <c r="I7" s="97">
        <v>500</v>
      </c>
      <c r="J7" s="187" t="s">
        <v>2026</v>
      </c>
      <c r="K7" s="188"/>
      <c r="L7" s="8" t="s">
        <v>1700</v>
      </c>
      <c r="M7" s="8" t="s">
        <v>267</v>
      </c>
    </row>
    <row r="8" spans="1:13" ht="15.75" x14ac:dyDescent="0.25">
      <c r="A8" s="2"/>
      <c r="B8" s="3"/>
      <c r="C8" s="11"/>
      <c r="D8" s="138"/>
      <c r="E8" s="137"/>
      <c r="F8" s="74"/>
      <c r="H8" s="6">
        <v>44450</v>
      </c>
      <c r="I8" s="97">
        <v>2500</v>
      </c>
      <c r="J8" s="36"/>
      <c r="K8" s="37"/>
      <c r="L8" s="8" t="s">
        <v>1963</v>
      </c>
      <c r="M8" s="8" t="s">
        <v>267</v>
      </c>
    </row>
    <row r="9" spans="1:13" ht="15.75" x14ac:dyDescent="0.25">
      <c r="A9" s="2"/>
      <c r="B9" s="3"/>
      <c r="C9" s="11"/>
      <c r="D9" s="138"/>
      <c r="E9" s="53"/>
      <c r="F9" s="88"/>
      <c r="G9" s="42"/>
      <c r="H9" s="6">
        <v>44449</v>
      </c>
      <c r="I9" s="97">
        <v>375</v>
      </c>
      <c r="J9" s="36"/>
      <c r="K9" s="37"/>
      <c r="L9" s="8" t="s">
        <v>2028</v>
      </c>
      <c r="M9" s="8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6">
        <v>44449</v>
      </c>
      <c r="I10" s="160">
        <v>1000</v>
      </c>
      <c r="J10" s="36"/>
      <c r="K10" s="37"/>
      <c r="L10" s="8" t="s">
        <v>2030</v>
      </c>
      <c r="M10" s="8" t="s">
        <v>267</v>
      </c>
    </row>
    <row r="11" spans="1:13" ht="16.5" thickBot="1" x14ac:dyDescent="0.3">
      <c r="A11" s="2" t="s">
        <v>59</v>
      </c>
      <c r="B11" s="3">
        <f>(B7-B9)/2</f>
        <v>7170.0750000000007</v>
      </c>
      <c r="C11" s="11"/>
      <c r="D11" s="80" t="s">
        <v>23</v>
      </c>
      <c r="E11" s="81">
        <f>SUM(E4:E10)</f>
        <v>1734.02</v>
      </c>
      <c r="F11" s="82"/>
      <c r="H11" s="6">
        <v>44418</v>
      </c>
      <c r="I11" s="120">
        <v>1335.2</v>
      </c>
      <c r="J11" s="36" t="s">
        <v>1904</v>
      </c>
      <c r="K11" s="37"/>
      <c r="L11" s="8" t="s">
        <v>1786</v>
      </c>
      <c r="M11" s="8" t="s">
        <v>268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H12" s="6">
        <v>44432</v>
      </c>
      <c r="I12" s="120">
        <v>798.75</v>
      </c>
      <c r="J12" s="36"/>
      <c r="K12" s="37"/>
      <c r="L12" s="8" t="s">
        <v>1854</v>
      </c>
      <c r="M12" s="8" t="s">
        <v>268</v>
      </c>
    </row>
    <row r="13" spans="1:13" ht="15.75" x14ac:dyDescent="0.25">
      <c r="A13" s="2"/>
      <c r="B13" s="3"/>
      <c r="C13" s="11"/>
      <c r="D13" s="76">
        <v>44425</v>
      </c>
      <c r="E13" s="149">
        <v>-40</v>
      </c>
      <c r="F13" s="150" t="s">
        <v>2019</v>
      </c>
      <c r="H13" s="6">
        <v>44441</v>
      </c>
      <c r="I13" s="120">
        <v>17672.29</v>
      </c>
      <c r="J13" s="182" t="s">
        <v>1977</v>
      </c>
      <c r="K13" s="183"/>
      <c r="L13" s="36" t="s">
        <v>419</v>
      </c>
      <c r="M13" s="8" t="s">
        <v>268</v>
      </c>
    </row>
    <row r="14" spans="1:13" ht="15.75" x14ac:dyDescent="0.25">
      <c r="A14" s="2"/>
      <c r="B14" s="3"/>
      <c r="C14" s="11"/>
      <c r="D14" s="73"/>
      <c r="E14" s="120">
        <v>1000</v>
      </c>
      <c r="F14" s="151" t="s">
        <v>2029</v>
      </c>
      <c r="H14" s="6">
        <v>44448</v>
      </c>
      <c r="I14" s="120">
        <v>713</v>
      </c>
      <c r="J14" s="36" t="s">
        <v>1904</v>
      </c>
      <c r="K14" s="37"/>
      <c r="L14" s="36" t="s">
        <v>1908</v>
      </c>
      <c r="M14" s="8" t="s">
        <v>268</v>
      </c>
    </row>
    <row r="15" spans="1:13" ht="16.5" thickBot="1" x14ac:dyDescent="0.3">
      <c r="A15" s="2"/>
      <c r="B15" s="3"/>
      <c r="C15" s="11"/>
      <c r="D15" s="76"/>
      <c r="E15" s="120">
        <f>SUM(I11:I14)</f>
        <v>20519.240000000002</v>
      </c>
      <c r="F15" s="151" t="s">
        <v>2046</v>
      </c>
      <c r="H15" s="6"/>
      <c r="I15" s="120"/>
      <c r="J15" s="36"/>
      <c r="K15" s="37"/>
      <c r="L15" s="36"/>
      <c r="M15" s="8"/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21479.24</v>
      </c>
      <c r="F16" s="82"/>
      <c r="H16" s="6"/>
      <c r="I16" s="120"/>
      <c r="J16" s="36"/>
      <c r="K16" s="37"/>
      <c r="L16" s="8"/>
      <c r="M16" s="8"/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6"/>
      <c r="I17" s="120"/>
      <c r="J17" s="36"/>
      <c r="K17" s="37"/>
      <c r="L17" s="8"/>
      <c r="M17" s="8"/>
    </row>
    <row r="18" spans="1:13" ht="15.75" x14ac:dyDescent="0.25">
      <c r="A18" s="2"/>
      <c r="B18" s="3"/>
      <c r="C18" s="1"/>
      <c r="D18" s="76">
        <v>44424</v>
      </c>
      <c r="E18" s="120">
        <v>-26.9</v>
      </c>
      <c r="F18" s="150" t="s">
        <v>2016</v>
      </c>
      <c r="G18" s="121"/>
      <c r="H18" s="6"/>
      <c r="I18" s="120"/>
      <c r="J18" s="36"/>
      <c r="K18" s="37"/>
      <c r="L18" s="8"/>
      <c r="M18" s="8"/>
    </row>
    <row r="19" spans="1:13" ht="15.75" x14ac:dyDescent="0.25">
      <c r="A19" s="2" t="s">
        <v>57</v>
      </c>
      <c r="B19" s="3" t="e">
        <f ca="1">B11-E11+M41</f>
        <v>#NAME?</v>
      </c>
      <c r="C19" s="1"/>
      <c r="D19" s="76">
        <v>44425</v>
      </c>
      <c r="E19" s="120">
        <v>-17</v>
      </c>
      <c r="F19" s="151" t="s">
        <v>2020</v>
      </c>
      <c r="H19" s="6"/>
      <c r="I19" s="120"/>
      <c r="J19" s="36"/>
      <c r="K19" s="37"/>
      <c r="L19" s="8"/>
      <c r="M19" s="8"/>
    </row>
    <row r="20" spans="1:13" ht="15.75" x14ac:dyDescent="0.25">
      <c r="A20" s="2" t="s">
        <v>12</v>
      </c>
      <c r="B20" s="3" t="e">
        <f ca="1">B11+G4+M40-E16</f>
        <v>#NAME?</v>
      </c>
      <c r="C20" s="11"/>
      <c r="D20" s="76">
        <v>44433</v>
      </c>
      <c r="E20" s="120">
        <v>500</v>
      </c>
      <c r="F20" s="8" t="s">
        <v>1962</v>
      </c>
      <c r="H20" s="6"/>
      <c r="I20" s="120"/>
      <c r="J20" s="36"/>
      <c r="K20" s="37"/>
      <c r="L20" s="8"/>
      <c r="M20" s="8"/>
    </row>
    <row r="21" spans="1:13" ht="15.75" x14ac:dyDescent="0.25">
      <c r="A21" s="2"/>
      <c r="B21" s="3"/>
      <c r="C21" s="1"/>
      <c r="D21" s="76">
        <v>44440</v>
      </c>
      <c r="E21" s="120">
        <v>-50</v>
      </c>
      <c r="F21" s="151" t="s">
        <v>1997</v>
      </c>
      <c r="H21" s="6"/>
      <c r="I21" s="120"/>
      <c r="J21" s="36"/>
      <c r="K21" s="37"/>
      <c r="L21" s="8"/>
      <c r="M21" s="8"/>
    </row>
    <row r="22" spans="1:13" ht="15.75" x14ac:dyDescent="0.25">
      <c r="A22" s="2"/>
      <c r="B22" s="2"/>
      <c r="C22" s="1"/>
      <c r="D22" s="76"/>
      <c r="E22" s="120">
        <v>-150</v>
      </c>
      <c r="F22" s="151" t="s">
        <v>2031</v>
      </c>
      <c r="H22" s="6"/>
      <c r="I22" s="120"/>
      <c r="J22" s="36"/>
      <c r="K22" s="37"/>
      <c r="L22" s="8"/>
      <c r="M22" s="8"/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256.10000000000002</v>
      </c>
      <c r="F23" s="147"/>
      <c r="G23" s="1"/>
      <c r="H23" s="6"/>
      <c r="I23" s="120"/>
      <c r="J23" s="36"/>
      <c r="K23" s="37"/>
      <c r="L23" s="8"/>
      <c r="M23" s="8"/>
    </row>
    <row r="24" spans="1:13" ht="16.5" thickBot="1" x14ac:dyDescent="0.3">
      <c r="A24" s="18"/>
      <c r="B24" s="18"/>
      <c r="C24" s="18"/>
      <c r="G24" s="77"/>
      <c r="H24" s="6"/>
      <c r="I24" s="120"/>
      <c r="J24" s="187"/>
      <c r="K24" s="188"/>
      <c r="L24" s="8"/>
      <c r="M24" s="8"/>
    </row>
    <row r="25" spans="1:13" ht="16.5" thickBot="1" x14ac:dyDescent="0.3">
      <c r="A25" s="258" t="s">
        <v>1744</v>
      </c>
      <c r="B25" s="259"/>
      <c r="C25" s="141">
        <v>44419</v>
      </c>
      <c r="D25" s="65" t="s">
        <v>1748</v>
      </c>
      <c r="E25" s="66" t="s">
        <v>1749</v>
      </c>
      <c r="G25" s="1"/>
      <c r="H25" s="6"/>
      <c r="I25" s="120"/>
      <c r="J25" s="187"/>
      <c r="K25" s="188"/>
      <c r="L25" s="8"/>
      <c r="M25" s="8"/>
    </row>
    <row r="26" spans="1:13" ht="15.75" x14ac:dyDescent="0.25">
      <c r="A26" s="59" t="s">
        <v>1745</v>
      </c>
      <c r="B26" s="93"/>
      <c r="C26" s="94">
        <v>550</v>
      </c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7"/>
      <c r="K26" s="188"/>
      <c r="L26" s="8"/>
      <c r="M26" s="8"/>
    </row>
    <row r="27" spans="1:13" ht="19.5" thickBot="1" x14ac:dyDescent="0.35">
      <c r="A27" s="60" t="s">
        <v>1746</v>
      </c>
      <c r="B27" s="61"/>
      <c r="C27" s="61">
        <v>3800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29294.240000000002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4350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J29" s="180" t="s">
        <v>69</v>
      </c>
      <c r="K29" s="180"/>
      <c r="L29" s="180" t="s">
        <v>69</v>
      </c>
      <c r="M29" s="180"/>
    </row>
    <row r="30" spans="1:13" ht="15" customHeight="1" x14ac:dyDescent="0.25">
      <c r="J30" s="180" t="s">
        <v>65</v>
      </c>
      <c r="K30" s="180"/>
      <c r="L30" s="180" t="s">
        <v>67</v>
      </c>
      <c r="M30" s="180"/>
    </row>
    <row r="31" spans="1:13" x14ac:dyDescent="0.25">
      <c r="H31" s="57"/>
      <c r="L31" s="180"/>
      <c r="M31" s="180"/>
    </row>
    <row r="32" spans="1:13" x14ac:dyDescent="0.25">
      <c r="L32" s="18"/>
      <c r="M32" s="18"/>
    </row>
    <row r="33" spans="1:13" x14ac:dyDescent="0.25">
      <c r="L33" s="18"/>
      <c r="M33" s="18"/>
    </row>
    <row r="34" spans="1:13" ht="18.75" x14ac:dyDescent="0.3">
      <c r="B34" s="158"/>
      <c r="C34" s="57"/>
      <c r="D34" s="205"/>
      <c r="E34" s="205"/>
      <c r="F34" s="205"/>
      <c r="H34" s="184" t="s">
        <v>2023</v>
      </c>
      <c r="I34" s="184"/>
      <c r="J34" s="184"/>
      <c r="K34" s="184"/>
      <c r="L34" s="180"/>
      <c r="M34" s="180"/>
    </row>
    <row r="35" spans="1:13" ht="15.75" x14ac:dyDescent="0.25">
      <c r="B35" s="102"/>
      <c r="D35" s="42"/>
      <c r="E35" s="102"/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D36" s="42"/>
      <c r="E36" s="102"/>
      <c r="F36" t="s">
        <v>2090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D37" s="42"/>
      <c r="E37" s="102"/>
      <c r="F37" s="57">
        <f>SUM(I41:I44,I48:I49,I56)</f>
        <v>6499.79</v>
      </c>
      <c r="H37" s="118"/>
      <c r="I37" s="109">
        <f>1000-E23</f>
        <v>743.9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>
        <v>44392</v>
      </c>
      <c r="I39" s="109">
        <v>136.94</v>
      </c>
      <c r="J39" s="257" t="s">
        <v>1800</v>
      </c>
      <c r="K39" s="257"/>
      <c r="L39" s="180"/>
      <c r="M39" s="180"/>
    </row>
    <row r="40" spans="1:13" ht="15.75" x14ac:dyDescent="0.25">
      <c r="B40" s="102"/>
      <c r="D40" s="42"/>
      <c r="E40" s="102"/>
      <c r="H40" s="118">
        <v>44279</v>
      </c>
      <c r="I40" s="109">
        <v>148.85</v>
      </c>
      <c r="J40" s="253" t="s">
        <v>2006</v>
      </c>
      <c r="K40" s="254"/>
      <c r="L40" s="100" t="s">
        <v>1754</v>
      </c>
      <c r="M40" s="102" t="e">
        <f ca="1">gfSumIfColor(I36:I75,gfCelColorName(L40))</f>
        <v>#NAME?</v>
      </c>
    </row>
    <row r="41" spans="1:13" ht="15.75" x14ac:dyDescent="0.25">
      <c r="B41" s="102"/>
      <c r="D41" s="42"/>
      <c r="E41" s="102"/>
      <c r="H41" s="118">
        <v>44160</v>
      </c>
      <c r="I41" s="99">
        <v>411.97</v>
      </c>
      <c r="J41" s="257" t="s">
        <v>2007</v>
      </c>
      <c r="K41" s="257"/>
      <c r="L41" s="105" t="s">
        <v>1756</v>
      </c>
      <c r="M41" s="122" t="e">
        <f ca="1">gfSumIfColor(I36:I75,gfCelColorName(L41))</f>
        <v>#NAME?</v>
      </c>
    </row>
    <row r="42" spans="1:13" ht="15.75" x14ac:dyDescent="0.25">
      <c r="B42" s="102"/>
      <c r="D42" s="42"/>
      <c r="E42" s="102"/>
      <c r="G42" s="112"/>
      <c r="H42" s="118">
        <v>44560</v>
      </c>
      <c r="I42" s="99">
        <v>281.10000000000002</v>
      </c>
      <c r="J42" s="253" t="s">
        <v>2008</v>
      </c>
      <c r="K42" s="254"/>
      <c r="L42" s="110" t="s">
        <v>1759</v>
      </c>
      <c r="M42" s="102" t="e">
        <f ca="1">gfSumIfColor(I36:I75,gfCelColorName(L42))</f>
        <v>#NAME?</v>
      </c>
    </row>
    <row r="43" spans="1:13" ht="15.75" x14ac:dyDescent="0.25">
      <c r="B43" s="102"/>
      <c r="D43" s="42"/>
      <c r="E43" s="102"/>
      <c r="H43" s="118">
        <v>44218</v>
      </c>
      <c r="I43" s="99">
        <v>316.77</v>
      </c>
      <c r="J43" s="253" t="s">
        <v>2008</v>
      </c>
      <c r="K43" s="254"/>
      <c r="L43" s="111" t="s">
        <v>1760</v>
      </c>
      <c r="M43" s="113" t="e">
        <f ca="1">gfSumIfColor(I36:I75,gfCelColorName(L43))</f>
        <v>#NAME?</v>
      </c>
    </row>
    <row r="44" spans="1:13" ht="15.75" x14ac:dyDescent="0.25">
      <c r="B44" s="102"/>
      <c r="H44" s="118">
        <v>44267</v>
      </c>
      <c r="I44" s="109">
        <v>196.54</v>
      </c>
      <c r="J44" s="255" t="s">
        <v>2009</v>
      </c>
      <c r="K44" s="256"/>
    </row>
    <row r="45" spans="1:13" ht="15.75" x14ac:dyDescent="0.25">
      <c r="B45" s="57"/>
      <c r="D45" s="57"/>
      <c r="H45" s="118">
        <v>44376</v>
      </c>
      <c r="I45" s="109">
        <v>739.8</v>
      </c>
      <c r="J45" s="257" t="s">
        <v>2010</v>
      </c>
      <c r="K45" s="257"/>
    </row>
    <row r="46" spans="1:13" ht="15.75" x14ac:dyDescent="0.25">
      <c r="B46" s="57"/>
      <c r="H46" s="118">
        <v>44376</v>
      </c>
      <c r="I46" s="99">
        <v>169</v>
      </c>
      <c r="J46" s="253" t="s">
        <v>2011</v>
      </c>
      <c r="K46" s="254"/>
    </row>
    <row r="47" spans="1:13" ht="15.75" x14ac:dyDescent="0.25">
      <c r="B47" s="57"/>
      <c r="H47" s="118">
        <v>44392</v>
      </c>
      <c r="I47" s="109">
        <v>283.44</v>
      </c>
      <c r="J47" s="255" t="s">
        <v>2012</v>
      </c>
      <c r="K47" s="256"/>
    </row>
    <row r="48" spans="1:13" ht="15.75" x14ac:dyDescent="0.25">
      <c r="H48" s="118">
        <v>44400</v>
      </c>
      <c r="I48" s="109">
        <v>57.59</v>
      </c>
      <c r="J48" s="255" t="s">
        <v>2013</v>
      </c>
      <c r="K48" s="256"/>
    </row>
    <row r="49" spans="7:11" ht="15.75" x14ac:dyDescent="0.25">
      <c r="H49" s="118">
        <v>44394</v>
      </c>
      <c r="I49" s="97">
        <v>235.82</v>
      </c>
      <c r="J49" s="255" t="s">
        <v>2014</v>
      </c>
      <c r="K49" s="256"/>
    </row>
    <row r="50" spans="7:11" ht="15.75" x14ac:dyDescent="0.25">
      <c r="H50" s="118">
        <v>44407</v>
      </c>
      <c r="I50" s="99">
        <v>263.3</v>
      </c>
      <c r="J50" s="253" t="s">
        <v>2015</v>
      </c>
      <c r="K50" s="254"/>
    </row>
    <row r="51" spans="7:11" ht="15.75" x14ac:dyDescent="0.25">
      <c r="H51" s="118">
        <v>44438</v>
      </c>
      <c r="I51" s="109">
        <v>107.98</v>
      </c>
      <c r="J51" s="255" t="s">
        <v>272</v>
      </c>
      <c r="K51" s="256"/>
    </row>
    <row r="52" spans="7:11" ht="15.75" x14ac:dyDescent="0.25">
      <c r="H52" s="118">
        <v>44452</v>
      </c>
      <c r="I52" s="109">
        <v>150.19</v>
      </c>
      <c r="J52" s="255" t="s">
        <v>888</v>
      </c>
      <c r="K52" s="256"/>
    </row>
    <row r="53" spans="7:11" ht="15.75" x14ac:dyDescent="0.25">
      <c r="H53" s="118">
        <v>44452</v>
      </c>
      <c r="I53" s="109">
        <v>350</v>
      </c>
      <c r="J53" s="257" t="s">
        <v>2027</v>
      </c>
      <c r="K53" s="257"/>
    </row>
    <row r="54" spans="7:11" ht="15.75" x14ac:dyDescent="0.25">
      <c r="H54" s="118">
        <v>44449</v>
      </c>
      <c r="I54" s="109">
        <v>1679</v>
      </c>
      <c r="J54" s="253" t="s">
        <v>2048</v>
      </c>
      <c r="K54" s="254"/>
    </row>
    <row r="55" spans="7:11" ht="15.75" x14ac:dyDescent="0.25">
      <c r="H55" s="118">
        <v>44449</v>
      </c>
      <c r="I55" s="109">
        <v>1500</v>
      </c>
      <c r="J55" s="253" t="s">
        <v>2047</v>
      </c>
      <c r="K55" s="254"/>
    </row>
    <row r="56" spans="7:11" ht="15.75" x14ac:dyDescent="0.25">
      <c r="H56" s="118">
        <v>44455</v>
      </c>
      <c r="I56" s="53">
        <v>5000</v>
      </c>
      <c r="J56" s="255" t="s">
        <v>1058</v>
      </c>
      <c r="K56" s="256"/>
    </row>
    <row r="57" spans="7:11" ht="15.75" x14ac:dyDescent="0.25">
      <c r="H57" s="118"/>
      <c r="I57" s="53"/>
      <c r="J57" s="255"/>
      <c r="K57" s="256"/>
    </row>
    <row r="58" spans="7:11" ht="15.75" x14ac:dyDescent="0.25">
      <c r="H58" s="118"/>
      <c r="I58" s="53"/>
      <c r="J58" s="257"/>
      <c r="K58" s="257"/>
    </row>
    <row r="59" spans="7:11" ht="15.75" x14ac:dyDescent="0.25">
      <c r="H59" s="118"/>
      <c r="I59" s="53"/>
      <c r="J59" s="255"/>
      <c r="K59" s="256"/>
    </row>
    <row r="60" spans="7:11" ht="15.75" x14ac:dyDescent="0.25">
      <c r="G60" s="112"/>
      <c r="H60" s="118"/>
      <c r="I60" s="53"/>
      <c r="J60" s="255"/>
      <c r="K60" s="256"/>
    </row>
    <row r="61" spans="7:11" ht="15.75" x14ac:dyDescent="0.25">
      <c r="H61" s="118"/>
      <c r="I61" s="120"/>
      <c r="J61" s="255"/>
      <c r="K61" s="256"/>
    </row>
    <row r="62" spans="7:11" ht="15.75" x14ac:dyDescent="0.25">
      <c r="H62" s="118"/>
      <c r="I62" s="53"/>
      <c r="J62" s="257"/>
      <c r="K62" s="257"/>
    </row>
    <row r="63" spans="7:11" ht="15.75" x14ac:dyDescent="0.25">
      <c r="H63" s="118"/>
      <c r="I63" s="53"/>
      <c r="J63" s="255"/>
      <c r="K63" s="256"/>
    </row>
    <row r="64" spans="7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ht="15.75" x14ac:dyDescent="0.25">
      <c r="H77" s="118"/>
      <c r="I77" s="53"/>
      <c r="J77" s="253"/>
      <c r="K77" s="254"/>
    </row>
    <row r="78" spans="8:11" ht="15.75" x14ac:dyDescent="0.25">
      <c r="H78" s="118"/>
      <c r="I78" s="53"/>
      <c r="J78" s="253"/>
      <c r="K78" s="254"/>
    </row>
    <row r="79" spans="8:11" x14ac:dyDescent="0.25">
      <c r="I79" s="57">
        <f>SUM(I36:I78)</f>
        <v>14954.09</v>
      </c>
    </row>
  </sheetData>
  <mergeCells count="75">
    <mergeCell ref="J75:K75"/>
    <mergeCell ref="J76:K76"/>
    <mergeCell ref="J77:K77"/>
    <mergeCell ref="J78:K78"/>
    <mergeCell ref="J69:K69"/>
    <mergeCell ref="J70:K70"/>
    <mergeCell ref="J71:K71"/>
    <mergeCell ref="J72:K72"/>
    <mergeCell ref="J73:K73"/>
    <mergeCell ref="J74:K74"/>
    <mergeCell ref="J68:K68"/>
    <mergeCell ref="J57:K57"/>
    <mergeCell ref="J58:K58"/>
    <mergeCell ref="J59:K59"/>
    <mergeCell ref="J60:K60"/>
    <mergeCell ref="J61:K61"/>
    <mergeCell ref="J62:K62"/>
    <mergeCell ref="J63:K63"/>
    <mergeCell ref="J64:K64"/>
    <mergeCell ref="J65:K65"/>
    <mergeCell ref="J66:K66"/>
    <mergeCell ref="J67:K67"/>
    <mergeCell ref="J51:K51"/>
    <mergeCell ref="J52:K52"/>
    <mergeCell ref="J53:K53"/>
    <mergeCell ref="J54:K54"/>
    <mergeCell ref="J55:K55"/>
    <mergeCell ref="J56:K56"/>
    <mergeCell ref="J46:K46"/>
    <mergeCell ref="J47:K47"/>
    <mergeCell ref="D34:F34"/>
    <mergeCell ref="J48:K48"/>
    <mergeCell ref="J49:K49"/>
    <mergeCell ref="J50:K50"/>
    <mergeCell ref="J40:K40"/>
    <mergeCell ref="J41:K41"/>
    <mergeCell ref="J42:K42"/>
    <mergeCell ref="J43:K43"/>
    <mergeCell ref="J44:K44"/>
    <mergeCell ref="J45:K45"/>
    <mergeCell ref="J36:K36"/>
    <mergeCell ref="J37:K37"/>
    <mergeCell ref="J38:K38"/>
    <mergeCell ref="L38:M38"/>
    <mergeCell ref="A25:B25"/>
    <mergeCell ref="J39:K39"/>
    <mergeCell ref="L39:M39"/>
    <mergeCell ref="J30:K30"/>
    <mergeCell ref="L30:M30"/>
    <mergeCell ref="L31:M31"/>
    <mergeCell ref="H34:K34"/>
    <mergeCell ref="L34:M34"/>
    <mergeCell ref="J35:K35"/>
    <mergeCell ref="L35:M35"/>
    <mergeCell ref="J29:K29"/>
    <mergeCell ref="L29:M29"/>
    <mergeCell ref="J24:K24"/>
    <mergeCell ref="J25:K25"/>
    <mergeCell ref="J26:K26"/>
    <mergeCell ref="I27:M27"/>
    <mergeCell ref="L28:M28"/>
    <mergeCell ref="A17:B17"/>
    <mergeCell ref="D17:F17"/>
    <mergeCell ref="A1:B1"/>
    <mergeCell ref="D1:F1"/>
    <mergeCell ref="H1:M1"/>
    <mergeCell ref="A2:B2"/>
    <mergeCell ref="D2:F2"/>
    <mergeCell ref="J2:K2"/>
    <mergeCell ref="J3:K3"/>
    <mergeCell ref="J5:K5"/>
    <mergeCell ref="J6:K6"/>
    <mergeCell ref="J7:K7"/>
    <mergeCell ref="D12:F12"/>
    <mergeCell ref="J13:K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Planilha67"/>
  <dimension ref="A1:M77"/>
  <sheetViews>
    <sheetView topLeftCell="E1" zoomScale="85" zoomScaleNormal="85" workbookViewId="0">
      <selection activeCell="L10" sqref="L10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1529</v>
      </c>
      <c r="B1" s="184"/>
      <c r="C1" s="10"/>
      <c r="D1" s="229" t="s">
        <v>55</v>
      </c>
      <c r="E1" s="230"/>
      <c r="F1" s="231"/>
      <c r="H1" s="184" t="s">
        <v>2033</v>
      </c>
      <c r="I1" s="184"/>
      <c r="J1" s="184"/>
      <c r="K1" s="184"/>
      <c r="L1" s="184"/>
      <c r="M1" s="184"/>
    </row>
    <row r="2" spans="1:13" ht="19.5" thickBot="1" x14ac:dyDescent="0.35">
      <c r="A2" s="184" t="s">
        <v>2032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46438.98</v>
      </c>
      <c r="C3" s="11"/>
      <c r="D3" s="91" t="s">
        <v>1</v>
      </c>
      <c r="E3" s="91" t="s">
        <v>6</v>
      </c>
      <c r="F3" s="92" t="s">
        <v>13</v>
      </c>
      <c r="H3" s="118">
        <v>44452</v>
      </c>
      <c r="I3" s="58">
        <v>500</v>
      </c>
      <c r="J3" s="263"/>
      <c r="K3" s="264"/>
      <c r="L3" s="161" t="s">
        <v>1973</v>
      </c>
      <c r="M3" s="161" t="s">
        <v>267</v>
      </c>
    </row>
    <row r="4" spans="1:13" ht="15.75" x14ac:dyDescent="0.25">
      <c r="A4" s="2"/>
      <c r="B4" s="3"/>
      <c r="C4" s="11"/>
      <c r="D4" s="73">
        <v>44203</v>
      </c>
      <c r="E4" s="107">
        <v>92.66</v>
      </c>
      <c r="F4" s="74" t="s">
        <v>2034</v>
      </c>
      <c r="G4" s="114" t="e">
        <f ca="1">gfSumIfColor(E4:E10,gfCelColorName(E4))</f>
        <v>#NAME?</v>
      </c>
      <c r="H4" s="118">
        <v>44453</v>
      </c>
      <c r="I4" s="58">
        <v>300</v>
      </c>
      <c r="J4" s="255" t="s">
        <v>1956</v>
      </c>
      <c r="K4" s="256"/>
      <c r="L4" s="8" t="s">
        <v>2254</v>
      </c>
      <c r="M4" s="161" t="s">
        <v>267</v>
      </c>
    </row>
    <row r="5" spans="1:13" ht="15.75" x14ac:dyDescent="0.25">
      <c r="A5" s="2" t="s">
        <v>4</v>
      </c>
      <c r="B5" s="3">
        <f>SUM(I36:I76)</f>
        <v>14747.93</v>
      </c>
      <c r="C5" s="11"/>
      <c r="D5" s="76">
        <v>44204</v>
      </c>
      <c r="E5" s="107">
        <v>550.88</v>
      </c>
      <c r="F5" s="86" t="s">
        <v>2035</v>
      </c>
      <c r="H5" s="118">
        <v>44453</v>
      </c>
      <c r="I5" s="97">
        <v>200</v>
      </c>
      <c r="J5" s="255" t="s">
        <v>1956</v>
      </c>
      <c r="K5" s="256"/>
      <c r="L5" s="8" t="s">
        <v>2254</v>
      </c>
      <c r="M5" s="161" t="s">
        <v>267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2036</v>
      </c>
      <c r="H6" s="118">
        <v>44453</v>
      </c>
      <c r="I6" s="58">
        <v>2000</v>
      </c>
      <c r="J6" s="263" t="s">
        <v>2051</v>
      </c>
      <c r="K6" s="264"/>
      <c r="L6" s="161" t="s">
        <v>2050</v>
      </c>
      <c r="M6" s="161" t="s">
        <v>267</v>
      </c>
    </row>
    <row r="7" spans="1:13" ht="15.75" x14ac:dyDescent="0.25">
      <c r="A7" s="12" t="s">
        <v>5</v>
      </c>
      <c r="B7" s="25">
        <f>B3+B4-B5</f>
        <v>31691.050000000003</v>
      </c>
      <c r="C7" s="11"/>
      <c r="D7" s="73">
        <v>44456</v>
      </c>
      <c r="E7" s="109">
        <v>393.21</v>
      </c>
      <c r="F7" s="74" t="s">
        <v>2054</v>
      </c>
      <c r="H7" s="118">
        <v>44454</v>
      </c>
      <c r="I7" s="159">
        <v>2000</v>
      </c>
      <c r="J7" s="263" t="s">
        <v>2051</v>
      </c>
      <c r="K7" s="264"/>
      <c r="L7" s="161" t="s">
        <v>2050</v>
      </c>
      <c r="M7" s="161" t="s">
        <v>267</v>
      </c>
    </row>
    <row r="8" spans="1:13" ht="15.75" x14ac:dyDescent="0.25">
      <c r="A8" s="2"/>
      <c r="B8" s="3"/>
      <c r="C8" s="11"/>
      <c r="D8" s="138">
        <v>44470</v>
      </c>
      <c r="E8" s="165">
        <v>1057</v>
      </c>
      <c r="F8" s="74" t="s">
        <v>2059</v>
      </c>
      <c r="H8" s="118">
        <v>44455</v>
      </c>
      <c r="I8" s="97">
        <v>1000</v>
      </c>
      <c r="J8" s="162"/>
      <c r="K8" s="163"/>
      <c r="L8" s="161" t="s">
        <v>2052</v>
      </c>
      <c r="M8" s="161" t="s">
        <v>267</v>
      </c>
    </row>
    <row r="9" spans="1:13" ht="15.75" x14ac:dyDescent="0.25">
      <c r="A9" s="2"/>
      <c r="B9" s="3"/>
      <c r="C9" s="11"/>
      <c r="D9" s="138"/>
      <c r="E9" s="53"/>
      <c r="F9" s="88"/>
      <c r="G9" s="42"/>
      <c r="H9" s="118">
        <v>44460</v>
      </c>
      <c r="I9" s="58">
        <v>6897</v>
      </c>
      <c r="J9" s="162" t="s">
        <v>2056</v>
      </c>
      <c r="K9" s="163"/>
      <c r="L9" s="161" t="s">
        <v>1017</v>
      </c>
      <c r="M9" s="161" t="s">
        <v>268</v>
      </c>
    </row>
    <row r="10" spans="1:13" ht="16.5" thickBot="1" x14ac:dyDescent="0.3">
      <c r="A10" s="2"/>
      <c r="B10" s="3"/>
      <c r="C10" s="11"/>
      <c r="D10" s="78"/>
      <c r="E10" s="79"/>
      <c r="F10" s="89"/>
      <c r="H10" s="118">
        <v>44461</v>
      </c>
      <c r="I10" s="58">
        <v>3800</v>
      </c>
      <c r="J10" s="162"/>
      <c r="K10" s="163"/>
      <c r="L10" s="161" t="s">
        <v>2255</v>
      </c>
      <c r="M10" s="161" t="s">
        <v>267</v>
      </c>
    </row>
    <row r="11" spans="1:13" ht="16.5" thickBot="1" x14ac:dyDescent="0.3">
      <c r="A11" s="2" t="s">
        <v>59</v>
      </c>
      <c r="B11" s="3">
        <f>(B7-B9)/2</f>
        <v>15845.525000000001</v>
      </c>
      <c r="C11" s="11"/>
      <c r="D11" s="80" t="s">
        <v>23</v>
      </c>
      <c r="E11" s="81">
        <f>SUM(E4:E10)</f>
        <v>2184.23</v>
      </c>
      <c r="F11" s="82"/>
      <c r="H11" s="118">
        <v>44474</v>
      </c>
      <c r="I11" s="58">
        <v>1000</v>
      </c>
      <c r="J11" s="162" t="s">
        <v>2063</v>
      </c>
      <c r="K11" s="163"/>
      <c r="L11" s="161" t="s">
        <v>2062</v>
      </c>
      <c r="M11" s="161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H12" s="6">
        <v>44475</v>
      </c>
      <c r="I12" s="58">
        <v>350</v>
      </c>
      <c r="J12" s="182"/>
      <c r="K12" s="183"/>
      <c r="L12" s="8" t="s">
        <v>2064</v>
      </c>
      <c r="M12" s="161" t="s">
        <v>267</v>
      </c>
    </row>
    <row r="13" spans="1:13" ht="15.75" x14ac:dyDescent="0.25">
      <c r="A13" s="2"/>
      <c r="B13" s="3"/>
      <c r="C13" s="11"/>
      <c r="D13" s="76">
        <v>44461</v>
      </c>
      <c r="E13" s="149">
        <v>99.9</v>
      </c>
      <c r="F13" s="150" t="s">
        <v>2057</v>
      </c>
      <c r="H13" s="6">
        <v>44475</v>
      </c>
      <c r="I13" s="97">
        <v>7304.47</v>
      </c>
      <c r="J13" s="182"/>
      <c r="K13" s="183"/>
      <c r="L13" s="36" t="s">
        <v>1386</v>
      </c>
      <c r="M13" s="161" t="s">
        <v>267</v>
      </c>
    </row>
    <row r="14" spans="1:13" ht="15.75" x14ac:dyDescent="0.25">
      <c r="A14" s="2"/>
      <c r="B14" s="3"/>
      <c r="C14" s="11"/>
      <c r="D14" s="73">
        <v>44468</v>
      </c>
      <c r="E14" s="120">
        <v>100</v>
      </c>
      <c r="F14" s="151" t="s">
        <v>2058</v>
      </c>
      <c r="H14" s="6">
        <v>44475</v>
      </c>
      <c r="I14" s="166">
        <v>600</v>
      </c>
      <c r="J14" s="182"/>
      <c r="K14" s="183"/>
      <c r="L14" s="36" t="s">
        <v>2119</v>
      </c>
      <c r="M14" s="161" t="s">
        <v>267</v>
      </c>
    </row>
    <row r="15" spans="1:13" ht="16.5" thickBot="1" x14ac:dyDescent="0.3">
      <c r="A15" s="2"/>
      <c r="B15" s="3"/>
      <c r="C15" s="11"/>
      <c r="D15" s="76"/>
      <c r="E15" s="120">
        <f>I16+I17+I18+I14</f>
        <v>18682.510000000002</v>
      </c>
      <c r="F15" s="151"/>
      <c r="H15" s="6">
        <v>44476</v>
      </c>
      <c r="I15" s="97">
        <v>2405</v>
      </c>
      <c r="J15" s="182" t="s">
        <v>2071</v>
      </c>
      <c r="K15" s="183"/>
      <c r="L15" s="36" t="s">
        <v>2065</v>
      </c>
      <c r="M15" s="161" t="s">
        <v>268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18882.410000000003</v>
      </c>
      <c r="F16" s="82"/>
      <c r="H16" s="6">
        <v>44463</v>
      </c>
      <c r="I16" s="120">
        <v>327.02</v>
      </c>
      <c r="J16" s="182"/>
      <c r="K16" s="183"/>
      <c r="L16" s="8" t="s">
        <v>2070</v>
      </c>
      <c r="M16" s="8" t="s">
        <v>268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6">
        <v>44475</v>
      </c>
      <c r="I17" s="120">
        <v>83.2</v>
      </c>
      <c r="J17" s="182" t="s">
        <v>2071</v>
      </c>
      <c r="K17" s="183"/>
      <c r="L17" s="8" t="s">
        <v>2072</v>
      </c>
      <c r="M17" s="8" t="s">
        <v>268</v>
      </c>
    </row>
    <row r="18" spans="1:13" ht="15.75" x14ac:dyDescent="0.25">
      <c r="A18" s="2"/>
      <c r="B18" s="3"/>
      <c r="C18" s="1"/>
      <c r="D18" s="76">
        <v>44467</v>
      </c>
      <c r="E18" s="120">
        <v>-48</v>
      </c>
      <c r="F18" s="150" t="s">
        <v>1997</v>
      </c>
      <c r="G18" s="121"/>
      <c r="H18" s="6">
        <v>44473</v>
      </c>
      <c r="I18" s="120">
        <v>17672.29</v>
      </c>
      <c r="J18" s="182" t="s">
        <v>1977</v>
      </c>
      <c r="K18" s="183"/>
      <c r="L18" s="8" t="s">
        <v>419</v>
      </c>
      <c r="M18" s="8" t="s">
        <v>268</v>
      </c>
    </row>
    <row r="19" spans="1:13" ht="15.75" x14ac:dyDescent="0.25">
      <c r="A19" s="2" t="s">
        <v>57</v>
      </c>
      <c r="B19" s="3" t="e">
        <f ca="1">B11-E11+M40-1.3</f>
        <v>#NAME?</v>
      </c>
      <c r="C19" s="1"/>
      <c r="D19" s="76">
        <v>44468</v>
      </c>
      <c r="E19" s="120">
        <v>-35</v>
      </c>
      <c r="F19" s="151" t="s">
        <v>1997</v>
      </c>
      <c r="H19" s="6"/>
      <c r="I19" s="120"/>
      <c r="J19" s="182"/>
      <c r="K19" s="183"/>
      <c r="L19" s="8"/>
      <c r="M19" s="8"/>
    </row>
    <row r="20" spans="1:13" ht="15.75" x14ac:dyDescent="0.25">
      <c r="A20" s="2" t="s">
        <v>12</v>
      </c>
      <c r="B20" s="3" t="e">
        <f ca="1">B11+G4+M39-E16</f>
        <v>#NAME?</v>
      </c>
      <c r="C20" s="1"/>
      <c r="D20" s="76"/>
      <c r="E20" s="120">
        <v>-62.5</v>
      </c>
      <c r="F20" s="8" t="s">
        <v>2066</v>
      </c>
      <c r="H20" s="6"/>
      <c r="I20" s="120"/>
      <c r="J20" s="182"/>
      <c r="K20" s="183"/>
      <c r="L20" s="8"/>
      <c r="M20" s="8"/>
    </row>
    <row r="21" spans="1:13" ht="15.75" x14ac:dyDescent="0.25">
      <c r="A21" s="2"/>
      <c r="B21" s="3"/>
      <c r="C21" s="1"/>
      <c r="D21" s="76"/>
      <c r="E21" s="120">
        <v>-100</v>
      </c>
      <c r="F21" s="151" t="s">
        <v>2067</v>
      </c>
      <c r="H21" s="6"/>
      <c r="I21" s="120"/>
      <c r="J21" s="182"/>
      <c r="K21" s="183"/>
      <c r="L21" s="8"/>
      <c r="M21" s="8"/>
    </row>
    <row r="22" spans="1:13" ht="15.75" x14ac:dyDescent="0.25">
      <c r="A22" s="2"/>
      <c r="B22" s="2"/>
      <c r="C22" s="1"/>
      <c r="D22" s="76"/>
      <c r="E22" s="120"/>
      <c r="F22" s="151"/>
      <c r="H22" s="6"/>
      <c r="I22" s="120"/>
      <c r="J22" s="182"/>
      <c r="K22" s="183"/>
      <c r="L22" s="8"/>
      <c r="M22" s="8"/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-245.5</v>
      </c>
      <c r="F23" s="147"/>
      <c r="G23" s="1"/>
      <c r="H23" s="6"/>
      <c r="I23" s="120"/>
      <c r="J23" s="182"/>
      <c r="K23" s="183"/>
      <c r="L23" s="8"/>
      <c r="M23" s="8"/>
    </row>
    <row r="24" spans="1:13" ht="16.5" thickBot="1" x14ac:dyDescent="0.3">
      <c r="A24" s="18"/>
      <c r="B24" s="18"/>
      <c r="C24" s="18"/>
      <c r="G24" s="77"/>
      <c r="H24" s="6"/>
      <c r="I24" s="120"/>
      <c r="J24" s="187"/>
      <c r="K24" s="188"/>
      <c r="L24" s="8"/>
      <c r="M24" s="8"/>
    </row>
    <row r="25" spans="1:13" ht="16.5" thickBot="1" x14ac:dyDescent="0.3">
      <c r="A25" s="258" t="s">
        <v>1744</v>
      </c>
      <c r="B25" s="259"/>
      <c r="C25" s="141">
        <v>44452</v>
      </c>
      <c r="D25" s="65" t="s">
        <v>1748</v>
      </c>
      <c r="E25" s="66" t="s">
        <v>1749</v>
      </c>
      <c r="G25" s="1"/>
      <c r="H25" s="6"/>
      <c r="I25" s="120"/>
      <c r="J25" s="187"/>
      <c r="K25" s="188"/>
      <c r="L25" s="8"/>
      <c r="M25" s="8"/>
    </row>
    <row r="26" spans="1:13" ht="15.75" x14ac:dyDescent="0.25">
      <c r="A26" s="59" t="s">
        <v>1745</v>
      </c>
      <c r="B26" s="93"/>
      <c r="C26" s="94">
        <v>2526</v>
      </c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7"/>
      <c r="K26" s="188"/>
      <c r="L26" s="8"/>
      <c r="M26" s="8"/>
    </row>
    <row r="27" spans="1:13" ht="19.5" thickBot="1" x14ac:dyDescent="0.35">
      <c r="A27" s="60" t="s">
        <v>1746</v>
      </c>
      <c r="B27" s="61"/>
      <c r="C27" s="61">
        <v>912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46438.98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3438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J30" s="180" t="s">
        <v>65</v>
      </c>
      <c r="K30" s="180"/>
      <c r="L30" s="180" t="s">
        <v>67</v>
      </c>
      <c r="M30" s="180"/>
    </row>
    <row r="31" spans="1:13" x14ac:dyDescent="0.25">
      <c r="H31" s="57"/>
      <c r="L31" s="180"/>
      <c r="M31" s="180"/>
    </row>
    <row r="32" spans="1:13" x14ac:dyDescent="0.25">
      <c r="L32" s="18"/>
      <c r="M32" s="18"/>
    </row>
    <row r="33" spans="1:13" x14ac:dyDescent="0.25">
      <c r="L33" s="18"/>
      <c r="M33" s="18"/>
    </row>
    <row r="34" spans="1:13" ht="18.75" x14ac:dyDescent="0.3">
      <c r="B34" s="158"/>
      <c r="C34" s="57"/>
      <c r="H34" s="184" t="s">
        <v>2045</v>
      </c>
      <c r="I34" s="184"/>
      <c r="J34" s="184"/>
      <c r="K34" s="184"/>
      <c r="L34" s="180"/>
      <c r="M34" s="180"/>
    </row>
    <row r="35" spans="1:13" ht="15.75" x14ac:dyDescent="0.25">
      <c r="B35" s="102"/>
      <c r="D35" s="42"/>
      <c r="E35" s="102"/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D36" s="42"/>
      <c r="E36" s="102"/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D37" s="42"/>
      <c r="E37" s="102"/>
      <c r="F37" t="s">
        <v>2090</v>
      </c>
      <c r="H37" s="118"/>
      <c r="I37" s="109">
        <f>1000-E23</f>
        <v>1245.5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F38" s="57">
        <f>SUM(I39,I41,I42,I46,I47,I57)</f>
        <v>6040.13</v>
      </c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>
        <v>44279</v>
      </c>
      <c r="I39" s="109">
        <v>148.85</v>
      </c>
      <c r="J39" s="253" t="s">
        <v>2037</v>
      </c>
      <c r="K39" s="254"/>
      <c r="L39" s="100" t="s">
        <v>1754</v>
      </c>
      <c r="M39" s="102" t="e">
        <f ca="1">gfSumIfColor(I36:I73,gfCelColorName(L39))</f>
        <v>#NAME?</v>
      </c>
    </row>
    <row r="40" spans="1:13" ht="15.75" x14ac:dyDescent="0.25">
      <c r="B40" s="102"/>
      <c r="D40" s="42"/>
      <c r="E40" s="102"/>
      <c r="H40" s="118"/>
      <c r="I40" s="53"/>
      <c r="J40" s="257"/>
      <c r="K40" s="257"/>
      <c r="L40" s="105" t="s">
        <v>1756</v>
      </c>
      <c r="M40" s="122" t="e">
        <f ca="1">gfSumIfColor(I36:I73,gfCelColorName(L40))</f>
        <v>#NAME?</v>
      </c>
    </row>
    <row r="41" spans="1:13" ht="15.75" x14ac:dyDescent="0.25">
      <c r="B41" s="102"/>
      <c r="D41" s="42"/>
      <c r="E41" s="102"/>
      <c r="G41" s="112"/>
      <c r="H41" s="118">
        <v>44560</v>
      </c>
      <c r="I41" s="99">
        <v>281.10000000000002</v>
      </c>
      <c r="J41" s="253" t="s">
        <v>2038</v>
      </c>
      <c r="K41" s="254"/>
      <c r="L41" s="110" t="s">
        <v>1759</v>
      </c>
      <c r="M41" s="102" t="e">
        <f ca="1">gfSumIfColor(I36:I73,gfCelColorName(L41))</f>
        <v>#NAME?</v>
      </c>
    </row>
    <row r="42" spans="1:13" ht="15.75" x14ac:dyDescent="0.25">
      <c r="B42" s="102"/>
      <c r="D42" s="42"/>
      <c r="E42" s="102"/>
      <c r="H42" s="118">
        <v>44218</v>
      </c>
      <c r="I42" s="99">
        <v>316.77</v>
      </c>
      <c r="J42" s="253" t="s">
        <v>2038</v>
      </c>
      <c r="K42" s="254"/>
      <c r="L42" s="111" t="s">
        <v>1760</v>
      </c>
      <c r="M42" s="113" t="e">
        <f ca="1">gfSumIfColor(I36:I73,gfCelColorName(L42))</f>
        <v>#NAME?</v>
      </c>
    </row>
    <row r="43" spans="1:13" ht="15.75" x14ac:dyDescent="0.25">
      <c r="B43" s="57"/>
      <c r="H43" s="118">
        <v>44376</v>
      </c>
      <c r="I43" s="109">
        <v>739.8</v>
      </c>
      <c r="J43" s="257" t="s">
        <v>2039</v>
      </c>
      <c r="K43" s="257"/>
    </row>
    <row r="44" spans="1:13" ht="15.75" x14ac:dyDescent="0.25">
      <c r="B44" s="57"/>
      <c r="H44" s="118">
        <v>44376</v>
      </c>
      <c r="I44" s="99">
        <v>169</v>
      </c>
      <c r="J44" s="253" t="s">
        <v>2040</v>
      </c>
      <c r="K44" s="254"/>
    </row>
    <row r="45" spans="1:13" ht="15.75" x14ac:dyDescent="0.25">
      <c r="B45" s="57"/>
      <c r="E45" s="102"/>
      <c r="H45" s="118">
        <v>44392</v>
      </c>
      <c r="I45" s="109">
        <v>283.44</v>
      </c>
      <c r="J45" s="255" t="s">
        <v>2041</v>
      </c>
      <c r="K45" s="256"/>
    </row>
    <row r="46" spans="1:13" ht="15.75" x14ac:dyDescent="0.25">
      <c r="E46" s="57"/>
      <c r="H46" s="118">
        <v>44400</v>
      </c>
      <c r="I46" s="109">
        <v>57.59</v>
      </c>
      <c r="J46" s="255" t="s">
        <v>2042</v>
      </c>
      <c r="K46" s="256"/>
    </row>
    <row r="47" spans="1:13" ht="15.75" x14ac:dyDescent="0.25">
      <c r="H47" s="118">
        <v>44394</v>
      </c>
      <c r="I47" s="97">
        <v>235.82</v>
      </c>
      <c r="J47" s="255" t="s">
        <v>2043</v>
      </c>
      <c r="K47" s="256"/>
    </row>
    <row r="48" spans="1:13" ht="15.75" x14ac:dyDescent="0.25">
      <c r="H48" s="118">
        <v>44407</v>
      </c>
      <c r="I48" s="99">
        <v>263.3</v>
      </c>
      <c r="J48" s="253" t="s">
        <v>2044</v>
      </c>
      <c r="K48" s="254"/>
    </row>
    <row r="49" spans="7:11" ht="15.75" x14ac:dyDescent="0.25">
      <c r="H49" s="118">
        <v>44452</v>
      </c>
      <c r="I49" s="109">
        <v>139.18</v>
      </c>
      <c r="J49" s="255" t="s">
        <v>2049</v>
      </c>
      <c r="K49" s="256"/>
    </row>
    <row r="50" spans="7:11" ht="15.75" x14ac:dyDescent="0.25">
      <c r="H50" s="118">
        <v>44453</v>
      </c>
      <c r="I50" s="109">
        <v>25.27</v>
      </c>
      <c r="J50" s="255" t="s">
        <v>574</v>
      </c>
      <c r="K50" s="256"/>
    </row>
    <row r="51" spans="7:11" ht="15.75" x14ac:dyDescent="0.25">
      <c r="H51" s="118">
        <v>44459</v>
      </c>
      <c r="I51" s="109">
        <v>40</v>
      </c>
      <c r="J51" s="257" t="s">
        <v>2055</v>
      </c>
      <c r="K51" s="257"/>
    </row>
    <row r="52" spans="7:11" ht="15.75" x14ac:dyDescent="0.25">
      <c r="H52" s="118">
        <v>44470</v>
      </c>
      <c r="I52" s="109">
        <v>79.319999999999993</v>
      </c>
      <c r="J52" s="253" t="s">
        <v>2060</v>
      </c>
      <c r="K52" s="254"/>
    </row>
    <row r="53" spans="7:11" ht="15.75" x14ac:dyDescent="0.25">
      <c r="H53" s="118">
        <v>44470</v>
      </c>
      <c r="I53" s="109">
        <v>201.42</v>
      </c>
      <c r="J53" s="253" t="s">
        <v>2061</v>
      </c>
      <c r="K53" s="254"/>
    </row>
    <row r="54" spans="7:11" ht="15.75" x14ac:dyDescent="0.25">
      <c r="H54" s="118">
        <v>44475</v>
      </c>
      <c r="I54" s="109">
        <v>160.66999999999999</v>
      </c>
      <c r="J54" s="255" t="s">
        <v>888</v>
      </c>
      <c r="K54" s="256"/>
    </row>
    <row r="55" spans="7:11" ht="15.75" x14ac:dyDescent="0.25">
      <c r="H55" s="118">
        <v>44477</v>
      </c>
      <c r="I55" s="109">
        <v>1679</v>
      </c>
      <c r="J55" s="255" t="s">
        <v>2068</v>
      </c>
      <c r="K55" s="256"/>
    </row>
    <row r="56" spans="7:11" ht="15.75" x14ac:dyDescent="0.25">
      <c r="H56" s="118">
        <v>44477</v>
      </c>
      <c r="I56" s="109">
        <v>1500</v>
      </c>
      <c r="J56" s="257" t="s">
        <v>2047</v>
      </c>
      <c r="K56" s="257"/>
    </row>
    <row r="57" spans="7:11" ht="15.75" x14ac:dyDescent="0.25">
      <c r="H57" s="118">
        <v>44477</v>
      </c>
      <c r="I57" s="53">
        <v>5000</v>
      </c>
      <c r="J57" s="255" t="s">
        <v>2069</v>
      </c>
      <c r="K57" s="256"/>
    </row>
    <row r="58" spans="7:11" ht="15.75" x14ac:dyDescent="0.25">
      <c r="G58" s="112"/>
      <c r="H58" s="118"/>
      <c r="I58" s="53"/>
      <c r="J58" s="255"/>
      <c r="K58" s="256"/>
    </row>
    <row r="59" spans="7:11" ht="15.75" x14ac:dyDescent="0.25">
      <c r="H59" s="118"/>
      <c r="I59" s="120"/>
      <c r="J59" s="255"/>
      <c r="K59" s="256"/>
    </row>
    <row r="60" spans="7:11" ht="15.75" x14ac:dyDescent="0.25">
      <c r="H60" s="118"/>
      <c r="I60" s="53"/>
      <c r="J60" s="257"/>
      <c r="K60" s="257"/>
    </row>
    <row r="61" spans="7:11" ht="15.75" x14ac:dyDescent="0.25">
      <c r="H61" s="118"/>
      <c r="I61" s="53"/>
      <c r="J61" s="255"/>
      <c r="K61" s="256"/>
    </row>
    <row r="62" spans="7:11" ht="15.75" x14ac:dyDescent="0.25">
      <c r="H62" s="118"/>
      <c r="I62" s="53"/>
      <c r="J62" s="253"/>
      <c r="K62" s="254"/>
    </row>
    <row r="63" spans="7:11" ht="15.75" x14ac:dyDescent="0.25">
      <c r="H63" s="118"/>
      <c r="I63" s="53"/>
      <c r="J63" s="253"/>
      <c r="K63" s="254"/>
    </row>
    <row r="64" spans="7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ht="15.75" x14ac:dyDescent="0.25">
      <c r="H74" s="118"/>
      <c r="I74" s="53"/>
      <c r="J74" s="253"/>
      <c r="K74" s="254"/>
    </row>
    <row r="75" spans="8:11" ht="15.75" x14ac:dyDescent="0.25">
      <c r="H75" s="118"/>
      <c r="I75" s="53"/>
      <c r="J75" s="253"/>
      <c r="K75" s="254"/>
    </row>
    <row r="76" spans="8:11" ht="15.75" x14ac:dyDescent="0.25">
      <c r="H76" s="118"/>
      <c r="I76" s="53"/>
      <c r="J76" s="253"/>
      <c r="K76" s="254"/>
    </row>
    <row r="77" spans="8:11" x14ac:dyDescent="0.25">
      <c r="I77" s="57">
        <f>SUM(I36:I76)</f>
        <v>14747.93</v>
      </c>
    </row>
  </sheetData>
  <mergeCells count="83">
    <mergeCell ref="J13:K13"/>
    <mergeCell ref="J12:K12"/>
    <mergeCell ref="J21:K21"/>
    <mergeCell ref="J22:K22"/>
    <mergeCell ref="J20:K20"/>
    <mergeCell ref="J19:K19"/>
    <mergeCell ref="J18:K18"/>
    <mergeCell ref="J17:K17"/>
    <mergeCell ref="J72:K72"/>
    <mergeCell ref="J73:K73"/>
    <mergeCell ref="J74:K74"/>
    <mergeCell ref="J75:K75"/>
    <mergeCell ref="J76:K76"/>
    <mergeCell ref="J23:K23"/>
    <mergeCell ref="J66:K66"/>
    <mergeCell ref="J67:K67"/>
    <mergeCell ref="J68:K68"/>
    <mergeCell ref="J69:K69"/>
    <mergeCell ref="J54:K54"/>
    <mergeCell ref="J55:K55"/>
    <mergeCell ref="J56:K56"/>
    <mergeCell ref="J57:K57"/>
    <mergeCell ref="J58:K58"/>
    <mergeCell ref="J59:K59"/>
    <mergeCell ref="J48:K48"/>
    <mergeCell ref="J49:K49"/>
    <mergeCell ref="J50:K50"/>
    <mergeCell ref="J51:K51"/>
    <mergeCell ref="J52:K52"/>
    <mergeCell ref="J70:K70"/>
    <mergeCell ref="J71:K71"/>
    <mergeCell ref="J60:K60"/>
    <mergeCell ref="J61:K61"/>
    <mergeCell ref="J62:K62"/>
    <mergeCell ref="J63:K63"/>
    <mergeCell ref="J64:K64"/>
    <mergeCell ref="J65:K65"/>
    <mergeCell ref="J53:K53"/>
    <mergeCell ref="J43:K43"/>
    <mergeCell ref="J44:K44"/>
    <mergeCell ref="J45:K45"/>
    <mergeCell ref="J46:K46"/>
    <mergeCell ref="J47:K47"/>
    <mergeCell ref="J42:K42"/>
    <mergeCell ref="J35:K35"/>
    <mergeCell ref="L35:M35"/>
    <mergeCell ref="J36:K36"/>
    <mergeCell ref="J37:K37"/>
    <mergeCell ref="J38:K38"/>
    <mergeCell ref="L38:M38"/>
    <mergeCell ref="J39:K39"/>
    <mergeCell ref="J40:K40"/>
    <mergeCell ref="J41:K41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J3:K3"/>
    <mergeCell ref="J5:K5"/>
    <mergeCell ref="J6:K6"/>
    <mergeCell ref="J7:K7"/>
    <mergeCell ref="D12:F12"/>
    <mergeCell ref="J4:K4"/>
    <mergeCell ref="A17:B17"/>
    <mergeCell ref="D17:F17"/>
    <mergeCell ref="J16:K16"/>
    <mergeCell ref="J15:K15"/>
    <mergeCell ref="J14:K14"/>
    <mergeCell ref="A1:B1"/>
    <mergeCell ref="D1:F1"/>
    <mergeCell ref="H1:M1"/>
    <mergeCell ref="A2:B2"/>
    <mergeCell ref="D2:F2"/>
    <mergeCell ref="J2:K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Planilha68"/>
  <dimension ref="A1:M74"/>
  <sheetViews>
    <sheetView topLeftCell="F13" zoomScale="85" zoomScaleNormal="85" workbookViewId="0">
      <selection activeCell="L3" sqref="L3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1236</v>
      </c>
      <c r="B1" s="184"/>
      <c r="C1" s="10"/>
      <c r="D1" s="229" t="s">
        <v>55</v>
      </c>
      <c r="E1" s="230"/>
      <c r="F1" s="231"/>
      <c r="H1" s="184" t="s">
        <v>2084</v>
      </c>
      <c r="I1" s="184"/>
      <c r="J1" s="184"/>
      <c r="K1" s="184"/>
      <c r="L1" s="184"/>
      <c r="M1" s="184"/>
    </row>
    <row r="2" spans="1:13" ht="19.5" thickBot="1" x14ac:dyDescent="0.35">
      <c r="A2" s="184" t="s">
        <v>2083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131394.03</v>
      </c>
      <c r="C3" s="11"/>
      <c r="D3" s="91" t="s">
        <v>1</v>
      </c>
      <c r="E3" s="91" t="s">
        <v>6</v>
      </c>
      <c r="F3" s="92" t="s">
        <v>13</v>
      </c>
      <c r="H3" s="118">
        <v>44482</v>
      </c>
      <c r="I3" s="97">
        <v>200</v>
      </c>
      <c r="J3" s="263"/>
      <c r="K3" s="264"/>
      <c r="L3" s="161" t="s">
        <v>2085</v>
      </c>
      <c r="M3" s="161" t="s">
        <v>267</v>
      </c>
    </row>
    <row r="4" spans="1:13" ht="15.75" x14ac:dyDescent="0.25">
      <c r="A4" s="2"/>
      <c r="B4" s="3"/>
      <c r="C4" s="11"/>
      <c r="D4" s="73">
        <v>44203</v>
      </c>
      <c r="E4" s="107">
        <v>92.66</v>
      </c>
      <c r="F4" s="74" t="s">
        <v>2079</v>
      </c>
      <c r="G4" s="114" t="e">
        <f ca="1">gfSumIfColor(E4:E10,gfCelColorName(E4))</f>
        <v>#NAME?</v>
      </c>
      <c r="H4" s="118">
        <v>44482</v>
      </c>
      <c r="I4" s="120">
        <v>72544</v>
      </c>
      <c r="J4" s="255" t="s">
        <v>2086</v>
      </c>
      <c r="K4" s="256"/>
      <c r="L4" s="161" t="s">
        <v>2228</v>
      </c>
      <c r="M4" s="161" t="s">
        <v>267</v>
      </c>
    </row>
    <row r="5" spans="1:13" ht="15.75" x14ac:dyDescent="0.25">
      <c r="A5" s="2" t="s">
        <v>4</v>
      </c>
      <c r="B5" s="3">
        <f>SUM(I36:I73)</f>
        <v>21528.09</v>
      </c>
      <c r="C5" s="11"/>
      <c r="D5" s="76">
        <v>44204</v>
      </c>
      <c r="E5" s="107">
        <v>550.88</v>
      </c>
      <c r="F5" s="86" t="s">
        <v>2080</v>
      </c>
      <c r="H5" s="118">
        <v>44482</v>
      </c>
      <c r="I5" s="97">
        <v>294.02999999999997</v>
      </c>
      <c r="J5" s="255" t="s">
        <v>2088</v>
      </c>
      <c r="K5" s="256"/>
      <c r="L5" s="161" t="s">
        <v>2087</v>
      </c>
      <c r="M5" s="161" t="s">
        <v>268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2081</v>
      </c>
      <c r="H6" s="118">
        <v>44483</v>
      </c>
      <c r="I6" s="58">
        <v>500</v>
      </c>
      <c r="J6" s="263" t="s">
        <v>2094</v>
      </c>
      <c r="K6" s="264"/>
      <c r="L6" s="161" t="s">
        <v>1151</v>
      </c>
      <c r="M6" s="161" t="s">
        <v>267</v>
      </c>
    </row>
    <row r="7" spans="1:13" ht="15.75" x14ac:dyDescent="0.25">
      <c r="A7" s="12" t="s">
        <v>5</v>
      </c>
      <c r="B7" s="25">
        <f>B3+B4-B5</f>
        <v>109865.94</v>
      </c>
      <c r="C7" s="11"/>
      <c r="D7" s="73">
        <v>44456</v>
      </c>
      <c r="E7" s="109">
        <v>393.21</v>
      </c>
      <c r="F7" s="74" t="s">
        <v>2082</v>
      </c>
      <c r="H7" s="118">
        <v>44483</v>
      </c>
      <c r="I7" s="97">
        <v>375</v>
      </c>
      <c r="J7" s="263"/>
      <c r="K7" s="264"/>
      <c r="L7" s="161" t="s">
        <v>2028</v>
      </c>
      <c r="M7" s="161" t="s">
        <v>267</v>
      </c>
    </row>
    <row r="8" spans="1:13" ht="15.75" x14ac:dyDescent="0.25">
      <c r="A8" s="2"/>
      <c r="B8" s="3"/>
      <c r="C8" s="11"/>
      <c r="D8" s="138"/>
      <c r="E8" s="167">
        <f>I4/2</f>
        <v>36272</v>
      </c>
      <c r="F8" s="74" t="s">
        <v>2100</v>
      </c>
      <c r="H8" s="118">
        <v>44484</v>
      </c>
      <c r="I8" s="58">
        <v>300</v>
      </c>
      <c r="J8" s="162"/>
      <c r="K8" s="163"/>
      <c r="L8" s="161" t="s">
        <v>2095</v>
      </c>
      <c r="M8" s="161" t="s">
        <v>267</v>
      </c>
    </row>
    <row r="9" spans="1:13" ht="15.75" x14ac:dyDescent="0.25">
      <c r="A9" s="2"/>
      <c r="B9" s="3"/>
      <c r="C9" s="11"/>
      <c r="D9" s="138"/>
      <c r="E9" s="53"/>
      <c r="F9" s="88"/>
      <c r="G9" s="42"/>
      <c r="H9" s="118">
        <v>44484</v>
      </c>
      <c r="I9" s="97">
        <v>1000</v>
      </c>
      <c r="J9" s="162"/>
      <c r="K9" s="163"/>
      <c r="L9" s="161" t="s">
        <v>2052</v>
      </c>
      <c r="M9" s="161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118">
        <v>44489</v>
      </c>
      <c r="I10" s="58">
        <v>500</v>
      </c>
      <c r="J10" s="162"/>
      <c r="K10" s="163"/>
      <c r="L10" s="161" t="s">
        <v>2097</v>
      </c>
      <c r="M10" s="161" t="s">
        <v>267</v>
      </c>
    </row>
    <row r="11" spans="1:13" ht="16.5" thickBot="1" x14ac:dyDescent="0.3">
      <c r="A11" s="2" t="s">
        <v>59</v>
      </c>
      <c r="B11" s="3">
        <f>(B7-B9)/2</f>
        <v>54932.97</v>
      </c>
      <c r="C11" s="11"/>
      <c r="D11" s="80" t="s">
        <v>23</v>
      </c>
      <c r="E11" s="81">
        <f>SUM(E4:E10)</f>
        <v>37399.230000000003</v>
      </c>
      <c r="F11" s="82"/>
      <c r="H11" s="118">
        <v>44484</v>
      </c>
      <c r="I11" s="120">
        <v>1100</v>
      </c>
      <c r="J11" s="162" t="s">
        <v>2056</v>
      </c>
      <c r="K11" s="163"/>
      <c r="L11" s="161" t="s">
        <v>1506</v>
      </c>
      <c r="M11" s="161" t="s">
        <v>268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H12" s="6">
        <v>44482</v>
      </c>
      <c r="I12" s="120">
        <v>1000</v>
      </c>
      <c r="J12" s="182"/>
      <c r="K12" s="183"/>
      <c r="L12" s="8" t="s">
        <v>1894</v>
      </c>
      <c r="M12" s="161" t="s">
        <v>267</v>
      </c>
    </row>
    <row r="13" spans="1:13" ht="15.75" x14ac:dyDescent="0.25">
      <c r="A13" s="2"/>
      <c r="B13" s="3"/>
      <c r="C13" s="11"/>
      <c r="D13" s="76"/>
      <c r="E13" s="149">
        <f>SUM(I11:I17)+I19</f>
        <v>55331</v>
      </c>
      <c r="F13" s="150"/>
      <c r="H13" s="6">
        <v>44482</v>
      </c>
      <c r="I13" s="120">
        <v>30000</v>
      </c>
      <c r="J13" s="182" t="s">
        <v>875</v>
      </c>
      <c r="K13" s="183"/>
      <c r="L13" s="36" t="s">
        <v>2072</v>
      </c>
      <c r="M13" s="161" t="s">
        <v>268</v>
      </c>
    </row>
    <row r="14" spans="1:13" ht="15.75" x14ac:dyDescent="0.25">
      <c r="A14" s="2"/>
      <c r="B14" s="3"/>
      <c r="C14" s="11"/>
      <c r="D14" s="73"/>
      <c r="E14" s="120"/>
      <c r="F14" s="151"/>
      <c r="H14" s="6">
        <v>44480</v>
      </c>
      <c r="I14" s="120">
        <v>6086</v>
      </c>
      <c r="J14" s="182" t="s">
        <v>875</v>
      </c>
      <c r="K14" s="183"/>
      <c r="L14" s="36" t="s">
        <v>2098</v>
      </c>
      <c r="M14" s="161" t="s">
        <v>268</v>
      </c>
    </row>
    <row r="15" spans="1:13" ht="16.5" thickBot="1" x14ac:dyDescent="0.3">
      <c r="A15" s="2"/>
      <c r="B15" s="3"/>
      <c r="C15" s="11"/>
      <c r="D15" s="76"/>
      <c r="E15" s="120"/>
      <c r="F15" s="151"/>
      <c r="H15" s="6">
        <v>44480</v>
      </c>
      <c r="I15" s="120">
        <v>700</v>
      </c>
      <c r="J15" s="182" t="s">
        <v>875</v>
      </c>
      <c r="K15" s="183"/>
      <c r="L15" s="36" t="s">
        <v>1908</v>
      </c>
      <c r="M15" s="161" t="s">
        <v>268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55331</v>
      </c>
      <c r="F16" s="82"/>
      <c r="H16" s="6">
        <v>44477</v>
      </c>
      <c r="I16" s="120">
        <v>15345</v>
      </c>
      <c r="J16" s="182" t="s">
        <v>875</v>
      </c>
      <c r="K16" s="183"/>
      <c r="L16" s="8" t="s">
        <v>1980</v>
      </c>
      <c r="M16" s="8" t="s">
        <v>268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6">
        <v>44495</v>
      </c>
      <c r="I17" s="120">
        <v>500</v>
      </c>
      <c r="J17" s="182" t="s">
        <v>139</v>
      </c>
      <c r="K17" s="183"/>
      <c r="L17" s="8" t="s">
        <v>2230</v>
      </c>
      <c r="M17" s="8" t="s">
        <v>268</v>
      </c>
    </row>
    <row r="18" spans="1:13" ht="15.75" x14ac:dyDescent="0.25">
      <c r="A18" s="2"/>
      <c r="B18" s="3"/>
      <c r="C18" s="1"/>
      <c r="D18" s="76"/>
      <c r="E18" s="120">
        <v>-250</v>
      </c>
      <c r="F18" s="150" t="s">
        <v>2031</v>
      </c>
      <c r="G18" s="121"/>
      <c r="H18" s="6">
        <v>44497</v>
      </c>
      <c r="I18" s="58">
        <v>250</v>
      </c>
      <c r="J18" s="182" t="s">
        <v>2105</v>
      </c>
      <c r="K18" s="183"/>
      <c r="L18" s="8" t="s">
        <v>2104</v>
      </c>
      <c r="M18" s="8" t="s">
        <v>267</v>
      </c>
    </row>
    <row r="19" spans="1:13" ht="15.75" x14ac:dyDescent="0.25">
      <c r="A19" s="2" t="s">
        <v>57</v>
      </c>
      <c r="B19" s="3">
        <f>B11-E11-C57</f>
        <v>7247.48</v>
      </c>
      <c r="C19" s="1"/>
      <c r="D19" s="76"/>
      <c r="E19" s="120"/>
      <c r="F19" s="151"/>
      <c r="H19" s="6">
        <v>44501</v>
      </c>
      <c r="I19" s="168">
        <v>600</v>
      </c>
      <c r="J19" s="182"/>
      <c r="K19" s="183"/>
      <c r="L19" s="8" t="s">
        <v>2119</v>
      </c>
      <c r="M19" s="8" t="s">
        <v>267</v>
      </c>
    </row>
    <row r="20" spans="1:13" ht="15.75" x14ac:dyDescent="0.25">
      <c r="A20" s="2" t="s">
        <v>12</v>
      </c>
      <c r="B20" s="3" t="e">
        <f ca="1">B11+G4+M39-E16</f>
        <v>#NAME?</v>
      </c>
      <c r="C20" s="1"/>
      <c r="D20" s="76"/>
      <c r="E20" s="120"/>
      <c r="F20" s="8"/>
      <c r="H20" s="6">
        <v>44508</v>
      </c>
      <c r="I20" s="58">
        <v>100</v>
      </c>
      <c r="J20" s="182"/>
      <c r="K20" s="183"/>
      <c r="L20" s="8" t="s">
        <v>2095</v>
      </c>
      <c r="M20" s="8" t="s">
        <v>267</v>
      </c>
    </row>
    <row r="21" spans="1:13" ht="15.75" x14ac:dyDescent="0.25">
      <c r="A21" s="2"/>
      <c r="B21" s="3"/>
      <c r="C21" s="1"/>
      <c r="D21" s="76"/>
      <c r="E21" s="120"/>
      <c r="F21" s="151"/>
      <c r="H21" s="6"/>
      <c r="I21" s="120"/>
      <c r="J21" s="182"/>
      <c r="K21" s="183"/>
      <c r="L21" s="8"/>
      <c r="M21" s="8"/>
    </row>
    <row r="22" spans="1:13" ht="15.75" x14ac:dyDescent="0.25">
      <c r="A22" s="2"/>
      <c r="B22" s="2"/>
      <c r="C22" s="1"/>
      <c r="D22" s="76"/>
      <c r="E22" s="120"/>
      <c r="F22" s="151"/>
      <c r="H22" s="6"/>
      <c r="I22" s="120"/>
      <c r="J22" s="182"/>
      <c r="K22" s="183"/>
      <c r="L22" s="8"/>
      <c r="M22" s="8"/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-250</v>
      </c>
      <c r="F23" s="147"/>
      <c r="G23" s="1"/>
      <c r="H23" s="6"/>
      <c r="I23" s="120"/>
      <c r="J23" s="182"/>
      <c r="K23" s="183"/>
      <c r="L23" s="8"/>
      <c r="M23" s="8"/>
    </row>
    <row r="24" spans="1:13" ht="16.5" thickBot="1" x14ac:dyDescent="0.3">
      <c r="A24" s="18"/>
      <c r="B24" s="18"/>
      <c r="C24" s="18"/>
      <c r="G24" s="77"/>
      <c r="H24" s="6"/>
      <c r="I24" s="120"/>
      <c r="J24" s="187"/>
      <c r="K24" s="188"/>
      <c r="L24" s="8"/>
      <c r="M24" s="8"/>
    </row>
    <row r="25" spans="1:13" ht="16.5" thickBot="1" x14ac:dyDescent="0.3">
      <c r="A25" s="258" t="s">
        <v>1744</v>
      </c>
      <c r="B25" s="259"/>
      <c r="C25" s="141">
        <v>44477</v>
      </c>
      <c r="D25" s="65" t="s">
        <v>1748</v>
      </c>
      <c r="E25" s="66" t="s">
        <v>1749</v>
      </c>
      <c r="G25" s="1"/>
      <c r="H25" s="6"/>
      <c r="I25" s="120"/>
      <c r="J25" s="187"/>
      <c r="K25" s="188"/>
      <c r="L25" s="8"/>
      <c r="M25" s="8"/>
    </row>
    <row r="26" spans="1:13" ht="15.75" x14ac:dyDescent="0.25">
      <c r="A26" s="59" t="s">
        <v>1745</v>
      </c>
      <c r="B26" s="93"/>
      <c r="C26" s="94">
        <v>476.04</v>
      </c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7"/>
      <c r="K26" s="188"/>
      <c r="L26" s="8"/>
      <c r="M26" s="8"/>
    </row>
    <row r="27" spans="1:13" ht="19.5" thickBot="1" x14ac:dyDescent="0.35">
      <c r="A27" s="60" t="s">
        <v>1746</v>
      </c>
      <c r="B27" s="61"/>
      <c r="C27" s="61">
        <v>2087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131394.03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2563.04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J30" s="180" t="s">
        <v>65</v>
      </c>
      <c r="K30" s="180"/>
      <c r="L30" s="180" t="s">
        <v>67</v>
      </c>
      <c r="M30" s="180"/>
    </row>
    <row r="31" spans="1:13" x14ac:dyDescent="0.25">
      <c r="H31" s="57"/>
      <c r="L31" s="180"/>
      <c r="M31" s="180"/>
    </row>
    <row r="32" spans="1:13" x14ac:dyDescent="0.25">
      <c r="L32" s="18"/>
      <c r="M32" s="18"/>
    </row>
    <row r="33" spans="1:13" x14ac:dyDescent="0.25">
      <c r="L33" s="18"/>
      <c r="M33" s="18"/>
    </row>
    <row r="34" spans="1:13" ht="18.75" x14ac:dyDescent="0.3">
      <c r="B34" s="158"/>
      <c r="C34" s="57"/>
      <c r="H34" s="184" t="s">
        <v>2133</v>
      </c>
      <c r="I34" s="184"/>
      <c r="J34" s="184"/>
      <c r="K34" s="184"/>
      <c r="L34" s="180"/>
      <c r="M34" s="180"/>
    </row>
    <row r="35" spans="1:13" ht="15.75" x14ac:dyDescent="0.25">
      <c r="B35" s="102"/>
      <c r="D35" s="42"/>
      <c r="E35" s="102"/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C36" t="s">
        <v>2092</v>
      </c>
      <c r="D36" s="42" t="s">
        <v>2091</v>
      </c>
      <c r="E36" s="102"/>
      <c r="F36" t="s">
        <v>2093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C37" s="57">
        <f>'Junho-21'!I51+'Julho-21'!I70+'Agosto-21'!I56+'Setembro-21'!I57+I57</f>
        <v>65000</v>
      </c>
      <c r="D37" s="57">
        <f>F37+'Setembro-21'!F38+'Agosto-21'!F37+'Julho-21'!F46+'Junho-21'!F37+'Maio-21'!F37+'Abril-21'!F36+'Março-21'!F41+'Fevereiro-21'!E39+'Janeiro-21'!F37+'Dezembro-20'!F38+'Novembro-20'!F39+'Outubro-20'!F39</f>
        <v>148263.52000000002</v>
      </c>
      <c r="E37" s="102"/>
      <c r="F37" s="57">
        <f>SUM(I39,I40,I41,I44)+I57+I55</f>
        <v>10947.85</v>
      </c>
      <c r="H37" s="118"/>
      <c r="I37" s="109">
        <f>1000-E23</f>
        <v>1250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>
        <v>44279</v>
      </c>
      <c r="I39" s="109">
        <v>148.85</v>
      </c>
      <c r="J39" s="253" t="s">
        <v>2073</v>
      </c>
      <c r="K39" s="254"/>
      <c r="L39" s="100" t="s">
        <v>1754</v>
      </c>
      <c r="M39" s="102" t="e">
        <f ca="1">gfSumIfColor(I36:I70,gfCelColorName(L39))</f>
        <v>#NAME?</v>
      </c>
    </row>
    <row r="40" spans="1:13" ht="15.75" x14ac:dyDescent="0.25">
      <c r="B40" s="102"/>
      <c r="D40" s="42"/>
      <c r="E40" s="102"/>
      <c r="G40" s="112"/>
      <c r="H40" s="118">
        <v>44560</v>
      </c>
      <c r="I40" s="99">
        <v>281.10000000000002</v>
      </c>
      <c r="J40" s="253" t="s">
        <v>2074</v>
      </c>
      <c r="K40" s="254"/>
      <c r="L40" s="110" t="s">
        <v>1759</v>
      </c>
      <c r="M40" s="102" t="e">
        <f ca="1">gfSumIfColor(I36:I70,gfCelColorName(L40))</f>
        <v>#NAME?</v>
      </c>
    </row>
    <row r="41" spans="1:13" ht="15.75" x14ac:dyDescent="0.25">
      <c r="B41" s="102"/>
      <c r="D41" s="42"/>
      <c r="E41" s="102"/>
      <c r="H41" s="118">
        <v>44218</v>
      </c>
      <c r="I41" s="99">
        <v>316.77</v>
      </c>
      <c r="J41" s="253" t="s">
        <v>2074</v>
      </c>
      <c r="K41" s="254"/>
      <c r="L41" s="111" t="s">
        <v>1760</v>
      </c>
      <c r="M41" s="113" t="e">
        <f ca="1">gfSumIfColor(I36:I70,gfCelColorName(L41))</f>
        <v>#NAME?</v>
      </c>
    </row>
    <row r="42" spans="1:13" ht="15.75" x14ac:dyDescent="0.25">
      <c r="B42" s="57"/>
      <c r="H42" s="118">
        <v>44376</v>
      </c>
      <c r="I42" s="109">
        <v>739.8</v>
      </c>
      <c r="J42" s="257" t="s">
        <v>2075</v>
      </c>
      <c r="K42" s="257"/>
    </row>
    <row r="43" spans="1:13" ht="15.75" x14ac:dyDescent="0.25">
      <c r="B43" s="57" t="s">
        <v>2110</v>
      </c>
      <c r="C43" s="102">
        <v>1057</v>
      </c>
      <c r="H43" s="118">
        <v>44376</v>
      </c>
      <c r="I43" s="99">
        <v>169</v>
      </c>
      <c r="J43" s="253" t="s">
        <v>2076</v>
      </c>
      <c r="K43" s="254"/>
    </row>
    <row r="44" spans="1:13" ht="15.75" x14ac:dyDescent="0.25">
      <c r="B44" t="s">
        <v>2106</v>
      </c>
      <c r="C44" s="102">
        <v>2000</v>
      </c>
      <c r="E44" s="57"/>
      <c r="H44" s="118">
        <v>44400</v>
      </c>
      <c r="I44" s="109">
        <v>57.59</v>
      </c>
      <c r="J44" s="255" t="s">
        <v>2077</v>
      </c>
      <c r="K44" s="256"/>
    </row>
    <row r="45" spans="1:13" ht="15.75" x14ac:dyDescent="0.25">
      <c r="B45" t="s">
        <v>2107</v>
      </c>
      <c r="C45" s="102">
        <v>500</v>
      </c>
      <c r="H45" s="118">
        <v>44407</v>
      </c>
      <c r="I45" s="99">
        <v>263.3</v>
      </c>
      <c r="J45" s="253" t="s">
        <v>2078</v>
      </c>
      <c r="K45" s="254"/>
    </row>
    <row r="46" spans="1:13" ht="15.75" x14ac:dyDescent="0.25">
      <c r="B46" t="s">
        <v>2108</v>
      </c>
      <c r="C46" s="102">
        <v>1190</v>
      </c>
      <c r="H46" s="118">
        <v>44482</v>
      </c>
      <c r="I46" s="109">
        <v>350</v>
      </c>
      <c r="J46" s="255" t="s">
        <v>1954</v>
      </c>
      <c r="K46" s="256"/>
    </row>
    <row r="47" spans="1:13" ht="15.75" x14ac:dyDescent="0.25">
      <c r="B47" t="s">
        <v>2109</v>
      </c>
      <c r="C47" s="102">
        <v>3190</v>
      </c>
      <c r="H47" s="118">
        <v>44483</v>
      </c>
      <c r="I47" s="109">
        <v>132.84</v>
      </c>
      <c r="J47" s="255" t="s">
        <v>1800</v>
      </c>
      <c r="K47" s="256"/>
    </row>
    <row r="48" spans="1:13" ht="15.75" x14ac:dyDescent="0.25">
      <c r="B48" t="s">
        <v>2111</v>
      </c>
      <c r="C48" s="102">
        <v>174.25</v>
      </c>
      <c r="H48" s="118">
        <v>44484</v>
      </c>
      <c r="I48" s="106">
        <v>21</v>
      </c>
      <c r="J48" s="257" t="s">
        <v>2096</v>
      </c>
      <c r="K48" s="257"/>
    </row>
    <row r="49" spans="2:11" ht="15.75" x14ac:dyDescent="0.25">
      <c r="B49" t="s">
        <v>2112</v>
      </c>
      <c r="C49" s="102">
        <v>80.55</v>
      </c>
      <c r="H49" s="118">
        <v>44494</v>
      </c>
      <c r="I49" s="109">
        <v>193.51</v>
      </c>
      <c r="J49" s="253" t="s">
        <v>888</v>
      </c>
      <c r="K49" s="254"/>
    </row>
    <row r="50" spans="2:11" ht="15.75" x14ac:dyDescent="0.25">
      <c r="B50" t="s">
        <v>2113</v>
      </c>
      <c r="C50" s="102">
        <v>565.96</v>
      </c>
      <c r="H50" s="118">
        <v>44494</v>
      </c>
      <c r="I50" s="109">
        <v>135.68</v>
      </c>
      <c r="J50" s="253" t="s">
        <v>2099</v>
      </c>
      <c r="K50" s="254"/>
    </row>
    <row r="51" spans="2:11" ht="15.75" x14ac:dyDescent="0.25">
      <c r="B51" t="s">
        <v>2114</v>
      </c>
      <c r="C51" s="102">
        <v>176.38</v>
      </c>
      <c r="H51" s="118">
        <v>44494</v>
      </c>
      <c r="I51" s="109">
        <v>149.57</v>
      </c>
      <c r="J51" s="255" t="s">
        <v>2101</v>
      </c>
      <c r="K51" s="256"/>
    </row>
    <row r="52" spans="2:11" ht="15.75" x14ac:dyDescent="0.25">
      <c r="B52" t="s">
        <v>2115</v>
      </c>
      <c r="C52" s="102">
        <v>99.16</v>
      </c>
      <c r="H52" s="118">
        <v>44495</v>
      </c>
      <c r="I52" s="109">
        <v>47.33</v>
      </c>
      <c r="J52" s="255" t="s">
        <v>2103</v>
      </c>
      <c r="K52" s="256"/>
    </row>
    <row r="53" spans="2:11" ht="15.75" x14ac:dyDescent="0.25">
      <c r="B53" t="s">
        <v>2116</v>
      </c>
      <c r="C53" s="102">
        <v>74.900000000000006</v>
      </c>
      <c r="H53" s="118">
        <v>44496</v>
      </c>
      <c r="I53" s="109">
        <v>9.4700000000000006</v>
      </c>
      <c r="J53" s="257" t="s">
        <v>2102</v>
      </c>
      <c r="K53" s="257"/>
    </row>
    <row r="54" spans="2:11" ht="15.75" x14ac:dyDescent="0.25">
      <c r="B54" t="s">
        <v>2117</v>
      </c>
      <c r="C54" s="102">
        <v>64.34</v>
      </c>
      <c r="H54" s="118">
        <v>44508</v>
      </c>
      <c r="I54" s="109">
        <v>2775</v>
      </c>
      <c r="J54" s="255" t="s">
        <v>2120</v>
      </c>
      <c r="K54" s="256"/>
    </row>
    <row r="55" spans="2:11" ht="15.75" x14ac:dyDescent="0.25">
      <c r="B55" t="s">
        <v>2118</v>
      </c>
      <c r="C55" s="102">
        <v>1036.55</v>
      </c>
      <c r="G55" s="112"/>
      <c r="H55" s="118">
        <v>44509</v>
      </c>
      <c r="I55" s="109">
        <v>143.54</v>
      </c>
      <c r="J55" s="255" t="s">
        <v>2121</v>
      </c>
      <c r="K55" s="256"/>
    </row>
    <row r="56" spans="2:11" ht="15.75" x14ac:dyDescent="0.25">
      <c r="B56" t="s">
        <v>2122</v>
      </c>
      <c r="C56" s="102">
        <v>77.17</v>
      </c>
      <c r="H56" s="118">
        <v>44510</v>
      </c>
      <c r="I56" s="120">
        <v>1679</v>
      </c>
      <c r="J56" s="255" t="s">
        <v>2048</v>
      </c>
      <c r="K56" s="256"/>
    </row>
    <row r="57" spans="2:11" ht="15.75" x14ac:dyDescent="0.25">
      <c r="C57" s="102">
        <f>SUM(C43:C56)</f>
        <v>10286.259999999998</v>
      </c>
      <c r="H57" s="118">
        <v>44510</v>
      </c>
      <c r="I57" s="53">
        <v>10000</v>
      </c>
      <c r="J57" s="257" t="s">
        <v>2069</v>
      </c>
      <c r="K57" s="257"/>
    </row>
    <row r="58" spans="2:11" ht="15.75" x14ac:dyDescent="0.25">
      <c r="H58" s="118">
        <v>44510</v>
      </c>
      <c r="I58" s="53">
        <v>350</v>
      </c>
      <c r="J58" s="255" t="s">
        <v>1954</v>
      </c>
      <c r="K58" s="256"/>
    </row>
    <row r="59" spans="2:11" ht="15.75" x14ac:dyDescent="0.25">
      <c r="H59" s="118">
        <v>44510</v>
      </c>
      <c r="I59" s="53">
        <v>132.84</v>
      </c>
      <c r="J59" s="253" t="s">
        <v>1800</v>
      </c>
      <c r="K59" s="254"/>
    </row>
    <row r="60" spans="2:11" ht="15.75" x14ac:dyDescent="0.25">
      <c r="H60" s="118"/>
      <c r="I60" s="53"/>
      <c r="J60" s="253"/>
      <c r="K60" s="254"/>
    </row>
    <row r="61" spans="2:11" ht="15.75" x14ac:dyDescent="0.25">
      <c r="H61" s="118"/>
      <c r="I61" s="53"/>
      <c r="J61" s="253"/>
      <c r="K61" s="254"/>
    </row>
    <row r="62" spans="2:11" ht="15.75" x14ac:dyDescent="0.25">
      <c r="H62" s="118"/>
      <c r="I62" s="53"/>
      <c r="J62" s="253"/>
      <c r="K62" s="254"/>
    </row>
    <row r="63" spans="2:11" ht="15.75" x14ac:dyDescent="0.25">
      <c r="H63" s="118"/>
      <c r="I63" s="53"/>
      <c r="J63" s="253"/>
      <c r="K63" s="254"/>
    </row>
    <row r="64" spans="2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ht="15.75" x14ac:dyDescent="0.25">
      <c r="H72" s="118"/>
      <c r="I72" s="53"/>
      <c r="J72" s="253"/>
      <c r="K72" s="254"/>
    </row>
    <row r="73" spans="8:11" ht="15.75" x14ac:dyDescent="0.25">
      <c r="H73" s="118"/>
      <c r="I73" s="53"/>
      <c r="J73" s="253"/>
      <c r="K73" s="254"/>
    </row>
    <row r="74" spans="8:11" x14ac:dyDescent="0.25">
      <c r="I74" s="57">
        <f>SUM(I36:I73)</f>
        <v>21528.09</v>
      </c>
    </row>
  </sheetData>
  <mergeCells count="80">
    <mergeCell ref="A1:B1"/>
    <mergeCell ref="D1:F1"/>
    <mergeCell ref="H1:M1"/>
    <mergeCell ref="A2:B2"/>
    <mergeCell ref="D2:F2"/>
    <mergeCell ref="J2:K2"/>
    <mergeCell ref="A17:B17"/>
    <mergeCell ref="D17:F17"/>
    <mergeCell ref="J17:K17"/>
    <mergeCell ref="J3:K3"/>
    <mergeCell ref="J4:K4"/>
    <mergeCell ref="J5:K5"/>
    <mergeCell ref="J6:K6"/>
    <mergeCell ref="J7:K7"/>
    <mergeCell ref="D12:F12"/>
    <mergeCell ref="J12:K12"/>
    <mergeCell ref="J23:K23"/>
    <mergeCell ref="J13:K13"/>
    <mergeCell ref="J14:K14"/>
    <mergeCell ref="J15:K15"/>
    <mergeCell ref="J16:K16"/>
    <mergeCell ref="J18:K18"/>
    <mergeCell ref="J19:K19"/>
    <mergeCell ref="J20:K20"/>
    <mergeCell ref="J21:K21"/>
    <mergeCell ref="J22:K22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J43:K43"/>
    <mergeCell ref="J35:K35"/>
    <mergeCell ref="L35:M35"/>
    <mergeCell ref="J36:K36"/>
    <mergeCell ref="J37:K37"/>
    <mergeCell ref="J38:K38"/>
    <mergeCell ref="L38:M38"/>
    <mergeCell ref="J39:K39"/>
    <mergeCell ref="J40:K40"/>
    <mergeCell ref="J41:K41"/>
    <mergeCell ref="J42:K42"/>
    <mergeCell ref="J53:K53"/>
    <mergeCell ref="J44:K44"/>
    <mergeCell ref="J45:K45"/>
    <mergeCell ref="J46:K46"/>
    <mergeCell ref="J47:K47"/>
    <mergeCell ref="J48:K48"/>
    <mergeCell ref="J49:K49"/>
    <mergeCell ref="J50:K50"/>
    <mergeCell ref="J51:K51"/>
    <mergeCell ref="J52:K52"/>
    <mergeCell ref="J65:K65"/>
    <mergeCell ref="J54:K54"/>
    <mergeCell ref="J55:K55"/>
    <mergeCell ref="J56:K56"/>
    <mergeCell ref="J57:K57"/>
    <mergeCell ref="J58:K58"/>
    <mergeCell ref="J59:K59"/>
    <mergeCell ref="J60:K60"/>
    <mergeCell ref="J61:K61"/>
    <mergeCell ref="J62:K62"/>
    <mergeCell ref="J63:K63"/>
    <mergeCell ref="J64:K64"/>
    <mergeCell ref="J72:K72"/>
    <mergeCell ref="J73:K73"/>
    <mergeCell ref="J66:K66"/>
    <mergeCell ref="J67:K67"/>
    <mergeCell ref="J68:K68"/>
    <mergeCell ref="J69:K69"/>
    <mergeCell ref="J70:K70"/>
    <mergeCell ref="J71:K7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Planilha69"/>
  <dimension ref="A1:M72"/>
  <sheetViews>
    <sheetView topLeftCell="H4" zoomScaleNormal="100" workbookViewId="0">
      <selection activeCell="L19" sqref="L19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1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1244</v>
      </c>
      <c r="B1" s="184"/>
      <c r="C1" s="10"/>
      <c r="D1" s="229" t="s">
        <v>55</v>
      </c>
      <c r="E1" s="230"/>
      <c r="F1" s="231"/>
      <c r="H1" s="184" t="s">
        <v>2131</v>
      </c>
      <c r="I1" s="184"/>
      <c r="J1" s="184"/>
      <c r="K1" s="184"/>
      <c r="L1" s="184"/>
      <c r="M1" s="184"/>
    </row>
    <row r="2" spans="1:13" ht="19.5" thickBot="1" x14ac:dyDescent="0.35">
      <c r="A2" s="184" t="s">
        <v>2130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93792.55</v>
      </c>
      <c r="C3" s="11"/>
      <c r="D3" s="91" t="s">
        <v>1</v>
      </c>
      <c r="E3" s="91" t="s">
        <v>6</v>
      </c>
      <c r="F3" s="92" t="s">
        <v>13</v>
      </c>
      <c r="H3" s="118">
        <v>44510</v>
      </c>
      <c r="I3" s="58">
        <v>300</v>
      </c>
      <c r="J3" s="263"/>
      <c r="K3" s="264"/>
      <c r="L3" s="161" t="s">
        <v>1973</v>
      </c>
      <c r="M3" s="161" t="s">
        <v>267</v>
      </c>
    </row>
    <row r="4" spans="1:13" ht="15.75" x14ac:dyDescent="0.25">
      <c r="A4" s="2"/>
      <c r="B4" s="3"/>
      <c r="C4" s="11"/>
      <c r="D4" s="73"/>
      <c r="E4" s="106">
        <v>1000</v>
      </c>
      <c r="F4" s="74" t="s">
        <v>2146</v>
      </c>
      <c r="G4" s="113"/>
      <c r="H4" s="118">
        <v>44511</v>
      </c>
      <c r="I4" s="168">
        <v>200</v>
      </c>
      <c r="J4" s="255"/>
      <c r="K4" s="256"/>
      <c r="L4" s="161" t="s">
        <v>2085</v>
      </c>
      <c r="M4" s="161" t="s">
        <v>267</v>
      </c>
    </row>
    <row r="5" spans="1:13" ht="15.75" x14ac:dyDescent="0.25">
      <c r="A5" s="2" t="s">
        <v>4</v>
      </c>
      <c r="B5" s="3">
        <f>SUM(I36:I71)</f>
        <v>13772.98</v>
      </c>
      <c r="C5" s="11"/>
      <c r="D5" s="76"/>
      <c r="E5" s="53"/>
      <c r="F5" s="86"/>
      <c r="H5" s="118">
        <v>44510</v>
      </c>
      <c r="I5" s="120">
        <v>21000</v>
      </c>
      <c r="J5" s="255" t="s">
        <v>1904</v>
      </c>
      <c r="K5" s="256"/>
      <c r="L5" s="161" t="s">
        <v>2072</v>
      </c>
      <c r="M5" s="161" t="s">
        <v>268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2123</v>
      </c>
      <c r="H6" s="118">
        <v>44516</v>
      </c>
      <c r="I6" s="97">
        <v>375</v>
      </c>
      <c r="J6" s="263"/>
      <c r="K6" s="264"/>
      <c r="L6" s="161" t="s">
        <v>2134</v>
      </c>
      <c r="M6" s="161" t="s">
        <v>267</v>
      </c>
    </row>
    <row r="7" spans="1:13" ht="15.75" x14ac:dyDescent="0.25">
      <c r="A7" s="12" t="s">
        <v>5</v>
      </c>
      <c r="B7" s="25">
        <f>B3+B4-B5</f>
        <v>80019.570000000007</v>
      </c>
      <c r="C7" s="11"/>
      <c r="D7" s="73">
        <v>44456</v>
      </c>
      <c r="E7" s="109">
        <v>393.21</v>
      </c>
      <c r="F7" s="74" t="s">
        <v>2124</v>
      </c>
      <c r="H7" s="118">
        <v>44516</v>
      </c>
      <c r="I7" s="97">
        <v>1000</v>
      </c>
      <c r="J7" s="263"/>
      <c r="K7" s="264"/>
      <c r="L7" s="161" t="s">
        <v>2052</v>
      </c>
      <c r="M7" s="161" t="s">
        <v>267</v>
      </c>
    </row>
    <row r="8" spans="1:13" ht="15.75" x14ac:dyDescent="0.25">
      <c r="A8" s="2"/>
      <c r="B8" s="3"/>
      <c r="C8" s="11"/>
      <c r="D8" s="138"/>
      <c r="E8" s="167">
        <v>450</v>
      </c>
      <c r="F8" s="74" t="s">
        <v>2158</v>
      </c>
      <c r="H8" s="118">
        <v>44516</v>
      </c>
      <c r="I8" s="120">
        <v>5800</v>
      </c>
      <c r="J8" s="255" t="s">
        <v>855</v>
      </c>
      <c r="K8" s="256"/>
      <c r="L8" s="161" t="s">
        <v>2135</v>
      </c>
      <c r="M8" s="161" t="s">
        <v>268</v>
      </c>
    </row>
    <row r="9" spans="1:13" ht="15.75" x14ac:dyDescent="0.25">
      <c r="A9" s="2"/>
      <c r="B9" s="3"/>
      <c r="C9" s="11"/>
      <c r="D9" s="138"/>
      <c r="E9" s="53"/>
      <c r="F9" s="88"/>
      <c r="G9" s="57"/>
      <c r="H9" s="118">
        <v>44518</v>
      </c>
      <c r="I9" s="58">
        <v>500</v>
      </c>
      <c r="J9" s="255"/>
      <c r="K9" s="256"/>
      <c r="L9" s="161" t="s">
        <v>2136</v>
      </c>
      <c r="M9" s="161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G10" s="57"/>
      <c r="H10" s="118">
        <v>44522</v>
      </c>
      <c r="I10" s="97">
        <v>1125</v>
      </c>
      <c r="J10" s="255"/>
      <c r="K10" s="256"/>
      <c r="L10" s="161" t="s">
        <v>2137</v>
      </c>
      <c r="M10" s="161" t="s">
        <v>267</v>
      </c>
    </row>
    <row r="11" spans="1:13" ht="16.5" thickBot="1" x14ac:dyDescent="0.3">
      <c r="A11" s="2" t="s">
        <v>59</v>
      </c>
      <c r="B11" s="3">
        <f>(B7-B9)/2</f>
        <v>40009.785000000003</v>
      </c>
      <c r="C11" s="11"/>
      <c r="D11" s="80" t="s">
        <v>23</v>
      </c>
      <c r="E11" s="81">
        <f>SUM(E4:E10)</f>
        <v>1933.69</v>
      </c>
      <c r="F11" s="82"/>
      <c r="G11" s="57"/>
      <c r="H11" s="118">
        <v>44523</v>
      </c>
      <c r="I11" s="58">
        <v>3300</v>
      </c>
      <c r="J11" s="255"/>
      <c r="K11" s="256"/>
      <c r="L11" s="161" t="s">
        <v>2140</v>
      </c>
      <c r="M11" s="161" t="s">
        <v>268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G12" s="57"/>
      <c r="H12" s="6">
        <v>44522</v>
      </c>
      <c r="I12" s="120">
        <v>1500</v>
      </c>
      <c r="J12" s="182" t="s">
        <v>875</v>
      </c>
      <c r="K12" s="183"/>
      <c r="L12" s="8" t="s">
        <v>2138</v>
      </c>
      <c r="M12" s="161" t="s">
        <v>268</v>
      </c>
    </row>
    <row r="13" spans="1:13" ht="15.75" x14ac:dyDescent="0.25">
      <c r="A13" s="2"/>
      <c r="B13" s="3"/>
      <c r="C13" s="11"/>
      <c r="D13" s="76"/>
      <c r="E13" s="149"/>
      <c r="F13" s="150"/>
      <c r="H13" s="6">
        <v>44522</v>
      </c>
      <c r="I13" s="120">
        <v>2100</v>
      </c>
      <c r="J13" s="182" t="s">
        <v>875</v>
      </c>
      <c r="K13" s="183"/>
      <c r="L13" s="36" t="s">
        <v>2139</v>
      </c>
      <c r="M13" s="161" t="s">
        <v>268</v>
      </c>
    </row>
    <row r="14" spans="1:13" ht="15.75" x14ac:dyDescent="0.25">
      <c r="A14" s="2"/>
      <c r="B14" s="3"/>
      <c r="C14" s="11"/>
      <c r="D14" s="73"/>
      <c r="E14" s="58">
        <v>1000</v>
      </c>
      <c r="F14" s="74" t="s">
        <v>2146</v>
      </c>
      <c r="H14" s="6">
        <v>44522</v>
      </c>
      <c r="I14" s="120">
        <v>2716.95</v>
      </c>
      <c r="J14" s="182" t="s">
        <v>2142</v>
      </c>
      <c r="K14" s="183"/>
      <c r="L14" s="36" t="s">
        <v>2141</v>
      </c>
      <c r="M14" s="161" t="s">
        <v>268</v>
      </c>
    </row>
    <row r="15" spans="1:13" ht="16.5" thickBot="1" x14ac:dyDescent="0.3">
      <c r="A15" s="2"/>
      <c r="B15" s="3"/>
      <c r="C15" s="11"/>
      <c r="D15" s="76"/>
      <c r="E15" s="167">
        <v>450</v>
      </c>
      <c r="F15" s="74" t="s">
        <v>2158</v>
      </c>
      <c r="H15" s="6">
        <v>44524</v>
      </c>
      <c r="I15" s="58">
        <v>500</v>
      </c>
      <c r="J15" s="182"/>
      <c r="K15" s="183"/>
      <c r="L15" s="161" t="s">
        <v>2097</v>
      </c>
      <c r="M15" s="161" t="s">
        <v>267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1450</v>
      </c>
      <c r="F16" s="82"/>
      <c r="H16" s="6">
        <v>44529</v>
      </c>
      <c r="I16" s="97">
        <v>500</v>
      </c>
      <c r="J16" s="182"/>
      <c r="K16" s="183"/>
      <c r="L16" s="8" t="s">
        <v>1700</v>
      </c>
      <c r="M16" s="8" t="s">
        <v>267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6">
        <v>44531</v>
      </c>
      <c r="I17" s="168">
        <v>600</v>
      </c>
      <c r="J17" s="182"/>
      <c r="K17" s="183"/>
      <c r="L17" s="8" t="s">
        <v>2119</v>
      </c>
      <c r="M17" s="8" t="s">
        <v>267</v>
      </c>
    </row>
    <row r="18" spans="1:13" ht="15.75" x14ac:dyDescent="0.25">
      <c r="A18" s="2"/>
      <c r="B18" s="3"/>
      <c r="C18" s="1"/>
      <c r="D18" s="76"/>
      <c r="E18" s="120">
        <v>-250</v>
      </c>
      <c r="F18" s="150" t="s">
        <v>2031</v>
      </c>
      <c r="G18" s="121"/>
      <c r="H18" s="6">
        <v>44536</v>
      </c>
      <c r="I18" s="120">
        <v>500</v>
      </c>
      <c r="J18" s="255" t="s">
        <v>2282</v>
      </c>
      <c r="K18" s="256"/>
      <c r="L18" s="8" t="s">
        <v>2143</v>
      </c>
      <c r="M18" s="8" t="s">
        <v>267</v>
      </c>
    </row>
    <row r="19" spans="1:13" ht="15.75" x14ac:dyDescent="0.25">
      <c r="A19" s="2" t="s">
        <v>57</v>
      </c>
      <c r="B19" s="3" t="e">
        <f ca="1">B11-E11-B53-M39</f>
        <v>#NAME?</v>
      </c>
      <c r="C19" s="1"/>
      <c r="D19" s="76"/>
      <c r="E19" s="120"/>
      <c r="F19" s="151"/>
      <c r="H19" s="6">
        <v>44539</v>
      </c>
      <c r="I19" s="58">
        <v>100</v>
      </c>
      <c r="J19" s="182"/>
      <c r="K19" s="183"/>
      <c r="L19" s="8" t="s">
        <v>2095</v>
      </c>
      <c r="M19" s="8" t="s">
        <v>267</v>
      </c>
    </row>
    <row r="20" spans="1:13" ht="15.75" x14ac:dyDescent="0.25">
      <c r="A20" s="2" t="s">
        <v>12</v>
      </c>
      <c r="B20" s="3" t="e">
        <f ca="1">B11+M39-E16</f>
        <v>#NAME?</v>
      </c>
      <c r="C20" s="1"/>
      <c r="D20" s="76"/>
      <c r="E20" s="120"/>
      <c r="F20" s="8"/>
      <c r="H20" s="6">
        <v>44539</v>
      </c>
      <c r="I20" s="58">
        <v>350</v>
      </c>
      <c r="J20" s="182"/>
      <c r="K20" s="183"/>
      <c r="L20" s="161" t="s">
        <v>1973</v>
      </c>
      <c r="M20" s="8" t="s">
        <v>267</v>
      </c>
    </row>
    <row r="21" spans="1:13" ht="15.75" x14ac:dyDescent="0.25">
      <c r="A21" s="2"/>
      <c r="B21" s="3"/>
      <c r="C21" s="1"/>
      <c r="D21" s="76"/>
      <c r="E21" s="120"/>
      <c r="F21" s="151"/>
      <c r="H21" s="6">
        <v>44537</v>
      </c>
      <c r="I21" s="120">
        <v>6086.96</v>
      </c>
      <c r="J21" s="255" t="s">
        <v>875</v>
      </c>
      <c r="K21" s="256"/>
      <c r="L21" s="8" t="s">
        <v>1979</v>
      </c>
      <c r="M21" s="8" t="s">
        <v>268</v>
      </c>
    </row>
    <row r="22" spans="1:13" ht="15.75" x14ac:dyDescent="0.25">
      <c r="A22" s="2"/>
      <c r="B22" s="2"/>
      <c r="C22" s="1"/>
      <c r="D22" s="76"/>
      <c r="E22" s="120"/>
      <c r="F22" s="151"/>
      <c r="H22" s="6">
        <v>44537</v>
      </c>
      <c r="I22" s="120">
        <f>21000-4200</f>
        <v>16800</v>
      </c>
      <c r="J22" s="255" t="s">
        <v>1904</v>
      </c>
      <c r="K22" s="256"/>
      <c r="L22" s="161" t="s">
        <v>2072</v>
      </c>
      <c r="M22" s="8" t="s">
        <v>268</v>
      </c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-250</v>
      </c>
      <c r="F23" s="147"/>
      <c r="G23" s="1"/>
      <c r="H23" s="6">
        <v>44522</v>
      </c>
      <c r="I23" s="58">
        <v>900</v>
      </c>
      <c r="J23" s="182"/>
      <c r="K23" s="183"/>
      <c r="L23" s="8" t="s">
        <v>2139</v>
      </c>
      <c r="M23" s="8" t="s">
        <v>267</v>
      </c>
    </row>
    <row r="24" spans="1:13" ht="16.5" thickBot="1" x14ac:dyDescent="0.3">
      <c r="A24" s="18"/>
      <c r="B24" s="18"/>
      <c r="C24" s="18"/>
      <c r="G24" s="77"/>
      <c r="H24" s="6">
        <v>44526</v>
      </c>
      <c r="I24" s="120">
        <v>500</v>
      </c>
      <c r="J24" s="187" t="s">
        <v>139</v>
      </c>
      <c r="K24" s="188"/>
      <c r="L24" s="8" t="s">
        <v>2230</v>
      </c>
      <c r="M24" s="8" t="s">
        <v>268</v>
      </c>
    </row>
    <row r="25" spans="1:13" ht="16.5" thickBot="1" x14ac:dyDescent="0.3">
      <c r="A25" s="258" t="s">
        <v>1744</v>
      </c>
      <c r="B25" s="259"/>
      <c r="C25" s="141">
        <v>44510</v>
      </c>
      <c r="D25" s="65" t="s">
        <v>1748</v>
      </c>
      <c r="E25" s="66" t="s">
        <v>1749</v>
      </c>
      <c r="G25" s="1"/>
      <c r="H25" s="6">
        <v>44531</v>
      </c>
      <c r="I25" s="120">
        <v>27038.639999999999</v>
      </c>
      <c r="J25" s="187" t="s">
        <v>875</v>
      </c>
      <c r="K25" s="188"/>
      <c r="L25" s="161" t="s">
        <v>2238</v>
      </c>
      <c r="M25" s="8" t="s">
        <v>268</v>
      </c>
    </row>
    <row r="26" spans="1:13" ht="15.75" x14ac:dyDescent="0.25">
      <c r="A26" s="59" t="s">
        <v>1745</v>
      </c>
      <c r="B26" s="93"/>
      <c r="C26" s="94">
        <v>125</v>
      </c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7"/>
      <c r="K26" s="188"/>
      <c r="L26" s="8"/>
      <c r="M26" s="8"/>
    </row>
    <row r="27" spans="1:13" ht="19.5" thickBot="1" x14ac:dyDescent="0.35">
      <c r="A27" s="60" t="s">
        <v>1746</v>
      </c>
      <c r="B27" s="61"/>
      <c r="C27" s="61">
        <v>1300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93792.55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1425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J30" s="180" t="s">
        <v>65</v>
      </c>
      <c r="K30" s="180"/>
      <c r="L30" s="180" t="s">
        <v>67</v>
      </c>
      <c r="M30" s="180"/>
    </row>
    <row r="31" spans="1:13" x14ac:dyDescent="0.25">
      <c r="H31" s="57"/>
      <c r="L31" s="180"/>
      <c r="M31" s="180"/>
    </row>
    <row r="32" spans="1:13" x14ac:dyDescent="0.25">
      <c r="L32" s="18"/>
      <c r="M32" s="18"/>
    </row>
    <row r="33" spans="1:13" x14ac:dyDescent="0.25">
      <c r="L33" s="18"/>
      <c r="M33" s="18"/>
    </row>
    <row r="34" spans="1:13" ht="18.75" x14ac:dyDescent="0.3">
      <c r="B34" s="158"/>
      <c r="C34" s="57"/>
      <c r="H34" s="184" t="s">
        <v>2132</v>
      </c>
      <c r="I34" s="184"/>
      <c r="J34" s="184"/>
      <c r="K34" s="184"/>
      <c r="L34" s="180"/>
      <c r="M34" s="180"/>
    </row>
    <row r="35" spans="1:13" ht="15.75" x14ac:dyDescent="0.25">
      <c r="B35" s="102"/>
      <c r="D35" s="42"/>
      <c r="E35" s="102"/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C36" t="s">
        <v>2092</v>
      </c>
      <c r="D36" s="42" t="s">
        <v>2091</v>
      </c>
      <c r="E36" s="102"/>
      <c r="F36" t="s">
        <v>2093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C37" s="57">
        <f>'Junho-21'!I51+'Julho-21'!I70+'Agosto-21'!I56+'Setembro-21'!I57+'Outubro-21'!I57+I50</f>
        <v>70000</v>
      </c>
      <c r="D37" s="57"/>
      <c r="E37" s="102"/>
      <c r="F37" s="57">
        <f>SUM(I39,,I42+I50)</f>
        <v>5206.4400000000005</v>
      </c>
      <c r="H37" s="118"/>
      <c r="I37" s="109">
        <f>1000-E23</f>
        <v>1250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>
        <v>44279</v>
      </c>
      <c r="I39" s="109">
        <v>148.85</v>
      </c>
      <c r="J39" s="253" t="s">
        <v>2125</v>
      </c>
      <c r="K39" s="254"/>
      <c r="L39" s="100" t="s">
        <v>1754</v>
      </c>
      <c r="M39" s="102" t="e">
        <f ca="1">gfSumIfColor(I36:I68,gfCelColorName(L39))</f>
        <v>#NAME?</v>
      </c>
    </row>
    <row r="40" spans="1:13" ht="15.75" x14ac:dyDescent="0.25">
      <c r="B40" s="102"/>
      <c r="D40" s="42"/>
      <c r="E40" s="102"/>
      <c r="G40" s="112"/>
      <c r="H40" s="118">
        <v>44376</v>
      </c>
      <c r="I40" s="109">
        <v>739.8</v>
      </c>
      <c r="J40" s="257" t="s">
        <v>2126</v>
      </c>
      <c r="K40" s="257"/>
      <c r="L40" s="110" t="s">
        <v>1759</v>
      </c>
      <c r="M40" s="102" t="e">
        <f ca="1">gfSumIfColor(I36:I68,gfCelColorName(L40))</f>
        <v>#NAME?</v>
      </c>
    </row>
    <row r="41" spans="1:13" ht="15.75" x14ac:dyDescent="0.25">
      <c r="B41" s="102"/>
      <c r="D41" s="42"/>
      <c r="E41" s="102"/>
      <c r="H41" s="118">
        <v>44376</v>
      </c>
      <c r="I41" s="99">
        <v>169</v>
      </c>
      <c r="J41" s="253" t="s">
        <v>2127</v>
      </c>
      <c r="K41" s="254"/>
      <c r="L41" s="111" t="s">
        <v>1760</v>
      </c>
      <c r="M41" s="113" t="e">
        <f ca="1">gfSumIfColor(I36:I68,gfCelColorName(L41))</f>
        <v>#NAME?</v>
      </c>
    </row>
    <row r="42" spans="1:13" ht="15.75" x14ac:dyDescent="0.25">
      <c r="B42" s="57"/>
      <c r="H42" s="118">
        <v>44400</v>
      </c>
      <c r="I42" s="109">
        <v>57.59</v>
      </c>
      <c r="J42" s="255" t="s">
        <v>2128</v>
      </c>
      <c r="K42" s="256"/>
    </row>
    <row r="43" spans="1:13" ht="15.75" x14ac:dyDescent="0.25">
      <c r="B43" s="57"/>
      <c r="C43" s="102"/>
      <c r="H43" s="118">
        <v>44407</v>
      </c>
      <c r="I43" s="99">
        <v>263.3</v>
      </c>
      <c r="J43" s="253" t="s">
        <v>2129</v>
      </c>
      <c r="K43" s="254"/>
    </row>
    <row r="44" spans="1:13" ht="15.75" x14ac:dyDescent="0.25">
      <c r="C44" s="102"/>
      <c r="E44" s="57"/>
      <c r="H44" s="118">
        <v>44523</v>
      </c>
      <c r="I44" s="109">
        <v>84.12</v>
      </c>
      <c r="J44" s="253" t="s">
        <v>2099</v>
      </c>
      <c r="K44" s="254"/>
    </row>
    <row r="45" spans="1:13" ht="15.75" x14ac:dyDescent="0.25">
      <c r="C45" s="102"/>
      <c r="H45" s="118">
        <v>44523</v>
      </c>
      <c r="I45" s="109">
        <v>166.58</v>
      </c>
      <c r="J45" s="253" t="s">
        <v>888</v>
      </c>
      <c r="K45" s="254"/>
    </row>
    <row r="46" spans="1:13" ht="15.75" x14ac:dyDescent="0.25">
      <c r="C46" s="102"/>
      <c r="H46" s="118">
        <v>44540</v>
      </c>
      <c r="I46" s="120">
        <v>1679</v>
      </c>
      <c r="J46" s="255" t="s">
        <v>2048</v>
      </c>
      <c r="K46" s="256"/>
      <c r="L46" s="57"/>
    </row>
    <row r="47" spans="1:13" ht="15.75" x14ac:dyDescent="0.25">
      <c r="C47" s="102"/>
      <c r="H47" s="118">
        <v>44540</v>
      </c>
      <c r="I47" s="120">
        <f>1800*6/12</f>
        <v>900</v>
      </c>
      <c r="J47" s="253" t="s">
        <v>2144</v>
      </c>
      <c r="K47" s="254"/>
    </row>
    <row r="48" spans="1:13" ht="15.75" x14ac:dyDescent="0.25">
      <c r="C48" s="102"/>
      <c r="H48" s="118">
        <v>44536</v>
      </c>
      <c r="I48" s="109">
        <v>132.84</v>
      </c>
      <c r="J48" s="253" t="s">
        <v>2049</v>
      </c>
      <c r="K48" s="254"/>
    </row>
    <row r="49" spans="3:11" ht="15.75" x14ac:dyDescent="0.25">
      <c r="C49" s="102"/>
      <c r="H49" s="118">
        <v>44540</v>
      </c>
      <c r="I49" s="109">
        <v>1000</v>
      </c>
      <c r="J49" s="255" t="s">
        <v>2145</v>
      </c>
      <c r="K49" s="256"/>
    </row>
    <row r="50" spans="3:11" ht="15.75" x14ac:dyDescent="0.25">
      <c r="C50" s="102"/>
      <c r="H50" s="118"/>
      <c r="I50" s="53">
        <v>5000</v>
      </c>
      <c r="J50" s="255" t="s">
        <v>1058</v>
      </c>
      <c r="K50" s="256"/>
    </row>
    <row r="51" spans="3:11" ht="15.75" x14ac:dyDescent="0.25">
      <c r="C51" s="102"/>
      <c r="H51" s="118"/>
      <c r="I51" s="53"/>
      <c r="J51" s="257"/>
      <c r="K51" s="257"/>
    </row>
    <row r="52" spans="3:11" ht="15.75" x14ac:dyDescent="0.25">
      <c r="C52" s="102"/>
      <c r="H52" s="118"/>
      <c r="I52" s="53"/>
      <c r="J52" s="255"/>
      <c r="K52" s="256"/>
    </row>
    <row r="53" spans="3:11" ht="15.75" x14ac:dyDescent="0.25">
      <c r="C53" s="102"/>
      <c r="H53" s="118"/>
      <c r="I53" s="53"/>
      <c r="J53" s="255"/>
      <c r="K53" s="256"/>
    </row>
    <row r="54" spans="3:11" ht="15.75" x14ac:dyDescent="0.25">
      <c r="C54" s="102"/>
      <c r="H54" s="118"/>
      <c r="I54" s="120"/>
      <c r="J54" s="255"/>
      <c r="K54" s="256"/>
    </row>
    <row r="55" spans="3:11" ht="15.75" x14ac:dyDescent="0.25">
      <c r="C55" s="102"/>
      <c r="G55" s="112"/>
      <c r="H55" s="118"/>
      <c r="I55" s="53"/>
      <c r="J55" s="257"/>
      <c r="K55" s="257"/>
    </row>
    <row r="56" spans="3:11" ht="15.75" x14ac:dyDescent="0.25">
      <c r="C56" s="102"/>
      <c r="H56" s="118"/>
      <c r="I56" s="53"/>
      <c r="J56" s="255"/>
      <c r="K56" s="256"/>
    </row>
    <row r="57" spans="3:11" ht="15.75" x14ac:dyDescent="0.25">
      <c r="C57" s="102"/>
      <c r="H57" s="118"/>
      <c r="I57" s="53"/>
      <c r="J57" s="253"/>
      <c r="K57" s="254"/>
    </row>
    <row r="58" spans="3:11" ht="15.75" x14ac:dyDescent="0.25">
      <c r="H58" s="118"/>
      <c r="I58" s="53"/>
      <c r="J58" s="253"/>
      <c r="K58" s="254"/>
    </row>
    <row r="59" spans="3:11" ht="15.75" x14ac:dyDescent="0.25">
      <c r="H59" s="118"/>
      <c r="I59" s="53"/>
      <c r="J59" s="253"/>
      <c r="K59" s="254"/>
    </row>
    <row r="60" spans="3:11" ht="15.75" x14ac:dyDescent="0.25">
      <c r="H60" s="118"/>
      <c r="I60" s="53"/>
      <c r="J60" s="253"/>
      <c r="K60" s="254"/>
    </row>
    <row r="61" spans="3:11" ht="15.75" x14ac:dyDescent="0.25">
      <c r="H61" s="118"/>
      <c r="I61" s="53"/>
      <c r="J61" s="253"/>
      <c r="K61" s="254"/>
    </row>
    <row r="62" spans="3:11" ht="15.75" x14ac:dyDescent="0.25">
      <c r="H62" s="118"/>
      <c r="I62" s="53"/>
      <c r="J62" s="253"/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x14ac:dyDescent="0.25">
      <c r="I72" s="57">
        <f>SUM(I36:I71)</f>
        <v>13772.98</v>
      </c>
    </row>
  </sheetData>
  <mergeCells count="82">
    <mergeCell ref="J67:K67"/>
    <mergeCell ref="J68:K68"/>
    <mergeCell ref="J69:K69"/>
    <mergeCell ref="J70:K70"/>
    <mergeCell ref="J71:K71"/>
    <mergeCell ref="J66:K66"/>
    <mergeCell ref="J55:K55"/>
    <mergeCell ref="J56:K56"/>
    <mergeCell ref="J57:K57"/>
    <mergeCell ref="J58:K58"/>
    <mergeCell ref="J59:K59"/>
    <mergeCell ref="J60:K60"/>
    <mergeCell ref="J61:K61"/>
    <mergeCell ref="J62:K62"/>
    <mergeCell ref="J63:K63"/>
    <mergeCell ref="J64:K64"/>
    <mergeCell ref="J65:K65"/>
    <mergeCell ref="J54:K54"/>
    <mergeCell ref="J43:K43"/>
    <mergeCell ref="J44:K44"/>
    <mergeCell ref="J45:K45"/>
    <mergeCell ref="J46:K46"/>
    <mergeCell ref="J47:K47"/>
    <mergeCell ref="J48:K48"/>
    <mergeCell ref="J49:K49"/>
    <mergeCell ref="J50:K50"/>
    <mergeCell ref="J51:K51"/>
    <mergeCell ref="J52:K52"/>
    <mergeCell ref="J53:K53"/>
    <mergeCell ref="J39:K39"/>
    <mergeCell ref="J40:K40"/>
    <mergeCell ref="J41:K41"/>
    <mergeCell ref="J42:K42"/>
    <mergeCell ref="J35:K35"/>
    <mergeCell ref="L35:M35"/>
    <mergeCell ref="J36:K36"/>
    <mergeCell ref="J37:K37"/>
    <mergeCell ref="J38:K38"/>
    <mergeCell ref="L38:M38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J23:K23"/>
    <mergeCell ref="J13:K13"/>
    <mergeCell ref="J14:K14"/>
    <mergeCell ref="J15:K15"/>
    <mergeCell ref="J16:K16"/>
    <mergeCell ref="J18:K18"/>
    <mergeCell ref="J19:K19"/>
    <mergeCell ref="J20:K20"/>
    <mergeCell ref="J21:K21"/>
    <mergeCell ref="J22:K22"/>
    <mergeCell ref="A17:B17"/>
    <mergeCell ref="D17:F17"/>
    <mergeCell ref="J17:K17"/>
    <mergeCell ref="J3:K3"/>
    <mergeCell ref="J4:K4"/>
    <mergeCell ref="J5:K5"/>
    <mergeCell ref="J6:K6"/>
    <mergeCell ref="J7:K7"/>
    <mergeCell ref="D12:F12"/>
    <mergeCell ref="J12:K12"/>
    <mergeCell ref="J8:K8"/>
    <mergeCell ref="J9:K9"/>
    <mergeCell ref="J10:K10"/>
    <mergeCell ref="J11:K11"/>
    <mergeCell ref="A1:B1"/>
    <mergeCell ref="D1:F1"/>
    <mergeCell ref="H1:M1"/>
    <mergeCell ref="A2:B2"/>
    <mergeCell ref="D2:F2"/>
    <mergeCell ref="J2:K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Planilha70"/>
  <dimension ref="A1:P72"/>
  <sheetViews>
    <sheetView topLeftCell="G1" zoomScale="85" zoomScaleNormal="85" workbookViewId="0">
      <selection activeCell="L17" sqref="L17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22.710937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  <col min="16" max="16" width="12.28515625" bestFit="1" customWidth="1"/>
  </cols>
  <sheetData>
    <row r="1" spans="1:16" ht="19.5" thickBot="1" x14ac:dyDescent="0.35">
      <c r="A1" s="184" t="s">
        <v>1271</v>
      </c>
      <c r="B1" s="184"/>
      <c r="C1" s="10"/>
      <c r="D1" s="229" t="s">
        <v>55</v>
      </c>
      <c r="E1" s="230"/>
      <c r="F1" s="231"/>
      <c r="H1" s="184" t="s">
        <v>2148</v>
      </c>
      <c r="I1" s="184"/>
      <c r="J1" s="184"/>
      <c r="K1" s="184"/>
      <c r="L1" s="184"/>
      <c r="M1" s="184"/>
    </row>
    <row r="2" spans="1:16" ht="19.5" thickBot="1" x14ac:dyDescent="0.35">
      <c r="A2" s="184" t="s">
        <v>2147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6" ht="16.5" thickBot="1" x14ac:dyDescent="0.3">
      <c r="A3" s="2" t="s">
        <v>2</v>
      </c>
      <c r="B3" s="3">
        <f>I27</f>
        <v>167903.06</v>
      </c>
      <c r="C3" s="11"/>
      <c r="D3" s="91" t="s">
        <v>1</v>
      </c>
      <c r="E3" s="91" t="s">
        <v>6</v>
      </c>
      <c r="F3" s="92" t="s">
        <v>13</v>
      </c>
      <c r="H3" s="118">
        <v>44543</v>
      </c>
      <c r="I3" s="97">
        <v>500</v>
      </c>
      <c r="J3" s="182"/>
      <c r="K3" s="183"/>
      <c r="L3" s="161" t="s">
        <v>1896</v>
      </c>
      <c r="M3" s="161" t="s">
        <v>267</v>
      </c>
    </row>
    <row r="4" spans="1:16" ht="15.75" x14ac:dyDescent="0.25">
      <c r="A4" s="2"/>
      <c r="B4" s="3"/>
      <c r="C4" s="11"/>
      <c r="D4" s="73"/>
      <c r="E4" s="53">
        <v>-1346.78</v>
      </c>
      <c r="F4" s="74" t="s">
        <v>2159</v>
      </c>
      <c r="G4" s="113"/>
      <c r="H4" s="118">
        <v>44543</v>
      </c>
      <c r="I4" s="120">
        <v>27038</v>
      </c>
      <c r="J4" s="182" t="s">
        <v>875</v>
      </c>
      <c r="K4" s="183"/>
      <c r="L4" s="161" t="s">
        <v>2238</v>
      </c>
      <c r="M4" s="161" t="s">
        <v>268</v>
      </c>
    </row>
    <row r="5" spans="1:16" ht="15.75" x14ac:dyDescent="0.25">
      <c r="A5" s="2" t="s">
        <v>4</v>
      </c>
      <c r="B5" s="3">
        <f>SUM(I36:I71)</f>
        <v>17707.64</v>
      </c>
      <c r="C5" s="11"/>
      <c r="D5" s="76"/>
      <c r="E5" s="53"/>
      <c r="F5" s="86"/>
      <c r="H5" s="118">
        <v>44546</v>
      </c>
      <c r="I5" s="97">
        <v>1000</v>
      </c>
      <c r="J5" s="182"/>
      <c r="K5" s="183"/>
      <c r="L5" s="161" t="s">
        <v>2052</v>
      </c>
      <c r="M5" s="161" t="s">
        <v>267</v>
      </c>
    </row>
    <row r="6" spans="1:16" ht="15.75" x14ac:dyDescent="0.25">
      <c r="A6" s="2"/>
      <c r="B6" s="3"/>
      <c r="C6" s="11"/>
      <c r="D6" s="138">
        <v>44368</v>
      </c>
      <c r="E6" s="137">
        <v>90.48</v>
      </c>
      <c r="F6" s="74" t="s">
        <v>2150</v>
      </c>
      <c r="H6" s="118">
        <v>44550</v>
      </c>
      <c r="I6" s="120">
        <v>80061</v>
      </c>
      <c r="J6" s="182" t="s">
        <v>875</v>
      </c>
      <c r="K6" s="183"/>
      <c r="L6" s="161" t="s">
        <v>2160</v>
      </c>
      <c r="M6" s="161" t="s">
        <v>268</v>
      </c>
    </row>
    <row r="7" spans="1:16" ht="15.75" x14ac:dyDescent="0.25">
      <c r="A7" s="12" t="s">
        <v>5</v>
      </c>
      <c r="B7" s="25">
        <f>B3+B4-B5</f>
        <v>150195.41999999998</v>
      </c>
      <c r="C7" s="11"/>
      <c r="D7" s="73">
        <v>44456</v>
      </c>
      <c r="E7" s="109">
        <v>393.21</v>
      </c>
      <c r="F7" s="74" t="s">
        <v>2151</v>
      </c>
      <c r="H7" s="118">
        <v>44550</v>
      </c>
      <c r="I7" s="58">
        <v>300</v>
      </c>
      <c r="J7" s="182"/>
      <c r="K7" s="183"/>
      <c r="L7" s="161" t="s">
        <v>2161</v>
      </c>
      <c r="M7" s="161" t="s">
        <v>267</v>
      </c>
    </row>
    <row r="8" spans="1:16" ht="15.75" x14ac:dyDescent="0.25">
      <c r="A8" s="2"/>
      <c r="B8" s="3"/>
      <c r="C8" s="11"/>
      <c r="D8" s="138"/>
      <c r="E8" s="167">
        <f>I14+I15</f>
        <v>9371.94</v>
      </c>
      <c r="F8" s="74" t="s">
        <v>2168</v>
      </c>
      <c r="H8" s="118">
        <v>44551</v>
      </c>
      <c r="I8" s="120">
        <v>6000</v>
      </c>
      <c r="J8" s="182" t="s">
        <v>875</v>
      </c>
      <c r="K8" s="183"/>
      <c r="L8" s="161" t="s">
        <v>2162</v>
      </c>
      <c r="M8" s="161" t="s">
        <v>268</v>
      </c>
      <c r="P8" s="57">
        <f>I14/2</f>
        <v>4204.92</v>
      </c>
    </row>
    <row r="9" spans="1:16" ht="15.75" x14ac:dyDescent="0.25">
      <c r="A9" s="2"/>
      <c r="B9" s="3"/>
      <c r="C9" s="11"/>
      <c r="D9" s="138"/>
      <c r="E9" s="53">
        <v>1150</v>
      </c>
      <c r="F9" s="88" t="s">
        <v>2176</v>
      </c>
      <c r="G9" s="42"/>
      <c r="H9" s="118">
        <v>44552</v>
      </c>
      <c r="I9" s="58">
        <v>800</v>
      </c>
      <c r="J9" s="182" t="s">
        <v>2163</v>
      </c>
      <c r="K9" s="183"/>
      <c r="L9" s="161" t="s">
        <v>1147</v>
      </c>
      <c r="M9" s="161" t="s">
        <v>267</v>
      </c>
    </row>
    <row r="10" spans="1:16" ht="16.5" thickBot="1" x14ac:dyDescent="0.3">
      <c r="A10" s="2"/>
      <c r="B10" s="3"/>
      <c r="C10" s="11"/>
      <c r="D10" s="78"/>
      <c r="E10" s="79"/>
      <c r="F10" s="89"/>
      <c r="H10" s="118">
        <v>44553</v>
      </c>
      <c r="I10" s="168">
        <v>100</v>
      </c>
      <c r="J10" s="182"/>
      <c r="K10" s="183"/>
      <c r="L10" s="161" t="s">
        <v>2252</v>
      </c>
      <c r="M10" s="161" t="s">
        <v>267</v>
      </c>
    </row>
    <row r="11" spans="1:16" ht="16.5" thickBot="1" x14ac:dyDescent="0.3">
      <c r="A11" s="2" t="s">
        <v>59</v>
      </c>
      <c r="B11" s="3">
        <f>(B7-B9)/2</f>
        <v>75097.709999999992</v>
      </c>
      <c r="C11" s="11"/>
      <c r="D11" s="80" t="s">
        <v>23</v>
      </c>
      <c r="E11" s="81">
        <f>SUM(E4:E10)</f>
        <v>9658.85</v>
      </c>
      <c r="F11" s="82"/>
      <c r="G11" s="57"/>
      <c r="H11" s="118">
        <v>44552</v>
      </c>
      <c r="I11" s="97">
        <v>500</v>
      </c>
      <c r="J11" s="182"/>
      <c r="K11" s="183"/>
      <c r="L11" s="161" t="s">
        <v>1700</v>
      </c>
      <c r="M11" s="161" t="s">
        <v>267</v>
      </c>
    </row>
    <row r="12" spans="1:16" ht="16.5" thickBot="1" x14ac:dyDescent="0.3">
      <c r="A12" s="2"/>
      <c r="B12" s="3"/>
      <c r="C12" s="11"/>
      <c r="D12" s="221" t="s">
        <v>12</v>
      </c>
      <c r="E12" s="222"/>
      <c r="F12" s="223"/>
      <c r="G12" s="57"/>
      <c r="H12" s="6">
        <v>44564</v>
      </c>
      <c r="I12" s="168">
        <v>600</v>
      </c>
      <c r="J12" s="182"/>
      <c r="K12" s="183"/>
      <c r="L12" s="8" t="s">
        <v>2119</v>
      </c>
      <c r="M12" s="161" t="s">
        <v>267</v>
      </c>
    </row>
    <row r="13" spans="1:16" ht="15.75" x14ac:dyDescent="0.25">
      <c r="A13" s="2"/>
      <c r="B13" s="3"/>
      <c r="C13" s="11"/>
      <c r="D13" s="76"/>
      <c r="E13" s="149">
        <v>1346.78</v>
      </c>
      <c r="F13" s="150" t="s">
        <v>2159</v>
      </c>
      <c r="H13" s="6">
        <v>44568</v>
      </c>
      <c r="I13" s="97">
        <v>500</v>
      </c>
      <c r="J13" s="182"/>
      <c r="K13" s="183"/>
      <c r="L13" s="36" t="s">
        <v>1896</v>
      </c>
      <c r="M13" s="161" t="s">
        <v>267</v>
      </c>
    </row>
    <row r="14" spans="1:16" ht="15.75" x14ac:dyDescent="0.25">
      <c r="A14" s="2"/>
      <c r="B14" s="3"/>
      <c r="C14" s="11"/>
      <c r="D14" s="73"/>
      <c r="E14" s="120">
        <f>I4+I6+I8+I19+I20+I21+I22</f>
        <v>152581.12</v>
      </c>
      <c r="F14" s="74"/>
      <c r="H14" s="6">
        <v>44924</v>
      </c>
      <c r="I14" s="120">
        <v>8409.84</v>
      </c>
      <c r="J14" s="182" t="s">
        <v>2166</v>
      </c>
      <c r="K14" s="183"/>
      <c r="L14" s="36" t="s">
        <v>2165</v>
      </c>
      <c r="M14" s="161" t="s">
        <v>267</v>
      </c>
    </row>
    <row r="15" spans="1:16" ht="16.5" thickBot="1" x14ac:dyDescent="0.3">
      <c r="A15" s="2"/>
      <c r="B15" s="3"/>
      <c r="C15" s="11"/>
      <c r="D15" s="76"/>
      <c r="E15" s="120"/>
      <c r="F15" s="151"/>
      <c r="H15" s="6">
        <v>44916</v>
      </c>
      <c r="I15" s="120">
        <v>962.1</v>
      </c>
      <c r="J15" s="182"/>
      <c r="K15" s="183"/>
      <c r="L15" s="36" t="s">
        <v>2167</v>
      </c>
      <c r="M15" s="161" t="s">
        <v>267</v>
      </c>
    </row>
    <row r="16" spans="1:16" ht="16.5" thickBot="1" x14ac:dyDescent="0.3">
      <c r="A16" s="2"/>
      <c r="B16" s="2"/>
      <c r="C16" s="1"/>
      <c r="D16" s="80" t="s">
        <v>23</v>
      </c>
      <c r="E16" s="81">
        <f>SUM(E13:E15)</f>
        <v>153927.9</v>
      </c>
      <c r="F16" s="82"/>
      <c r="H16" s="6">
        <v>44571</v>
      </c>
      <c r="I16" s="58">
        <v>1200</v>
      </c>
      <c r="J16" s="182" t="s">
        <v>2169</v>
      </c>
      <c r="K16" s="183"/>
      <c r="L16" s="8" t="s">
        <v>1147</v>
      </c>
      <c r="M16" s="8" t="s">
        <v>267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6">
        <v>44571</v>
      </c>
      <c r="I17" s="58">
        <v>100</v>
      </c>
      <c r="J17" s="182"/>
      <c r="K17" s="183"/>
      <c r="L17" s="8" t="s">
        <v>2095</v>
      </c>
      <c r="M17" s="8" t="s">
        <v>267</v>
      </c>
    </row>
    <row r="18" spans="1:13" ht="15.75" x14ac:dyDescent="0.25">
      <c r="A18" s="2"/>
      <c r="B18" s="3"/>
      <c r="C18" s="1"/>
      <c r="D18" s="76"/>
      <c r="E18" s="120"/>
      <c r="F18" s="150"/>
      <c r="G18" s="121"/>
      <c r="H18" s="6">
        <v>44571</v>
      </c>
      <c r="I18" s="58">
        <v>350</v>
      </c>
      <c r="J18" s="182"/>
      <c r="K18" s="183"/>
      <c r="L18" s="8" t="s">
        <v>1973</v>
      </c>
      <c r="M18" s="8" t="s">
        <v>267</v>
      </c>
    </row>
    <row r="19" spans="1:13" ht="15.75" x14ac:dyDescent="0.25">
      <c r="A19" s="2" t="s">
        <v>57</v>
      </c>
      <c r="B19" s="3">
        <f>B11-E11-B53</f>
        <v>65438.859999999993</v>
      </c>
      <c r="C19" s="1"/>
      <c r="D19" s="76"/>
      <c r="E19" s="120"/>
      <c r="F19" s="151"/>
      <c r="H19" s="6">
        <v>44568</v>
      </c>
      <c r="I19" s="120">
        <v>5319.12</v>
      </c>
      <c r="J19" s="182" t="s">
        <v>2170</v>
      </c>
      <c r="K19" s="183"/>
      <c r="L19" s="8" t="s">
        <v>1979</v>
      </c>
      <c r="M19" s="8" t="s">
        <v>268</v>
      </c>
    </row>
    <row r="20" spans="1:13" ht="15.75" x14ac:dyDescent="0.25">
      <c r="A20" s="2" t="s">
        <v>12</v>
      </c>
      <c r="B20" s="3" t="e">
        <f ca="1">B11+G4+M39-E16</f>
        <v>#NAME?</v>
      </c>
      <c r="C20" s="1"/>
      <c r="D20" s="76"/>
      <c r="E20" s="120"/>
      <c r="F20" s="8"/>
      <c r="H20" s="6">
        <v>44568</v>
      </c>
      <c r="I20" s="120">
        <v>27038</v>
      </c>
      <c r="J20" s="182" t="s">
        <v>2170</v>
      </c>
      <c r="K20" s="183"/>
      <c r="L20" s="161" t="s">
        <v>2157</v>
      </c>
      <c r="M20" s="8" t="s">
        <v>268</v>
      </c>
    </row>
    <row r="21" spans="1:13" ht="15.75" x14ac:dyDescent="0.25">
      <c r="A21" s="2"/>
      <c r="B21" s="3"/>
      <c r="C21" s="1"/>
      <c r="D21" s="76"/>
      <c r="E21" s="120"/>
      <c r="F21" s="151"/>
      <c r="H21" s="6">
        <v>44568</v>
      </c>
      <c r="I21" s="120">
        <v>5325</v>
      </c>
      <c r="J21" s="182" t="s">
        <v>2170</v>
      </c>
      <c r="K21" s="183"/>
      <c r="L21" s="8" t="s">
        <v>2171</v>
      </c>
      <c r="M21" s="8" t="s">
        <v>268</v>
      </c>
    </row>
    <row r="22" spans="1:13" ht="15.75" x14ac:dyDescent="0.25">
      <c r="A22" s="2"/>
      <c r="B22" s="2"/>
      <c r="C22" s="1"/>
      <c r="D22" s="76"/>
      <c r="E22" s="120"/>
      <c r="F22" s="151"/>
      <c r="H22" s="6">
        <v>44916</v>
      </c>
      <c r="I22" s="120">
        <v>1800</v>
      </c>
      <c r="J22" s="182" t="s">
        <v>2172</v>
      </c>
      <c r="K22" s="183"/>
      <c r="L22" s="161" t="s">
        <v>2173</v>
      </c>
      <c r="M22" s="8" t="s">
        <v>268</v>
      </c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0</v>
      </c>
      <c r="F23" s="147"/>
      <c r="G23" s="1"/>
      <c r="H23" s="6"/>
      <c r="I23" s="120"/>
      <c r="J23" s="182"/>
      <c r="K23" s="183"/>
      <c r="L23" s="8"/>
      <c r="M23" s="8"/>
    </row>
    <row r="24" spans="1:13" ht="16.5" thickBot="1" x14ac:dyDescent="0.3">
      <c r="A24" s="18"/>
      <c r="B24" s="18"/>
      <c r="C24" s="18"/>
      <c r="G24" s="77"/>
      <c r="H24" s="6"/>
      <c r="I24" s="120"/>
      <c r="J24" s="182"/>
      <c r="K24" s="183"/>
      <c r="L24" s="8"/>
      <c r="M24" s="8"/>
    </row>
    <row r="25" spans="1:13" ht="16.5" thickBot="1" x14ac:dyDescent="0.3">
      <c r="A25" s="258" t="s">
        <v>1744</v>
      </c>
      <c r="B25" s="259"/>
      <c r="C25" s="141">
        <v>44540</v>
      </c>
      <c r="D25" s="65" t="s">
        <v>1748</v>
      </c>
      <c r="E25" s="66" t="s">
        <v>1749</v>
      </c>
      <c r="G25" s="1"/>
      <c r="H25" s="6"/>
      <c r="I25" s="120"/>
      <c r="J25" s="182"/>
      <c r="K25" s="183"/>
      <c r="L25" s="8"/>
      <c r="M25" s="8"/>
    </row>
    <row r="26" spans="1:13" ht="15.75" x14ac:dyDescent="0.25">
      <c r="A26" s="59" t="s">
        <v>1745</v>
      </c>
      <c r="B26" s="93"/>
      <c r="C26" s="94">
        <v>214.49</v>
      </c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2"/>
      <c r="K26" s="183"/>
      <c r="L26" s="8"/>
      <c r="M26" s="8"/>
    </row>
    <row r="27" spans="1:13" ht="19.5" thickBot="1" x14ac:dyDescent="0.35">
      <c r="A27" s="60" t="s">
        <v>1746</v>
      </c>
      <c r="B27" s="61"/>
      <c r="C27" s="61">
        <v>2100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167903.06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2314.4899999999998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J30" s="180" t="s">
        <v>65</v>
      </c>
      <c r="K30" s="180"/>
      <c r="L30" s="180" t="s">
        <v>67</v>
      </c>
      <c r="M30" s="180"/>
    </row>
    <row r="31" spans="1:13" x14ac:dyDescent="0.25">
      <c r="H31" s="57"/>
      <c r="L31" s="180"/>
      <c r="M31" s="180"/>
    </row>
    <row r="32" spans="1:13" x14ac:dyDescent="0.25">
      <c r="L32" s="18"/>
      <c r="M32" s="18"/>
    </row>
    <row r="33" spans="1:13" x14ac:dyDescent="0.25">
      <c r="L33" s="18"/>
      <c r="M33" s="18"/>
    </row>
    <row r="34" spans="1:13" ht="18.75" x14ac:dyDescent="0.3">
      <c r="B34" s="158"/>
      <c r="C34" s="57"/>
      <c r="H34" s="184" t="s">
        <v>2149</v>
      </c>
      <c r="I34" s="184"/>
      <c r="J34" s="184"/>
      <c r="K34" s="184"/>
      <c r="L34" s="180"/>
      <c r="M34" s="180"/>
    </row>
    <row r="35" spans="1:13" ht="15.75" x14ac:dyDescent="0.25">
      <c r="B35" s="102"/>
      <c r="C35" t="s">
        <v>2092</v>
      </c>
      <c r="D35" s="42"/>
      <c r="E35" s="102"/>
      <c r="F35" t="s">
        <v>2093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C36" s="57">
        <f>'Novembro-21'!C37+'Dezembro-21'!I47</f>
        <v>80000</v>
      </c>
      <c r="D36" s="42"/>
      <c r="E36" s="102"/>
      <c r="F36" s="57">
        <f>I39+I42+I47</f>
        <v>10206.44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C37" s="57"/>
      <c r="D37" s="57"/>
      <c r="E37" s="102"/>
      <c r="F37" s="57"/>
      <c r="H37" s="118"/>
      <c r="I37" s="53">
        <f>1000-E23</f>
        <v>1000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>
        <v>44279</v>
      </c>
      <c r="I39" s="109">
        <v>148.85</v>
      </c>
      <c r="J39" s="253" t="s">
        <v>2152</v>
      </c>
      <c r="K39" s="254"/>
      <c r="L39" s="100" t="s">
        <v>1754</v>
      </c>
      <c r="M39" s="102" t="e">
        <f ca="1">gfSumIfColor(I36:I68,gfCelColorName(L39))</f>
        <v>#NAME?</v>
      </c>
    </row>
    <row r="40" spans="1:13" ht="15.75" x14ac:dyDescent="0.25">
      <c r="B40" s="102"/>
      <c r="D40" s="42"/>
      <c r="E40" s="102"/>
      <c r="G40" s="112"/>
      <c r="H40" s="118">
        <v>44376</v>
      </c>
      <c r="I40" s="109">
        <v>739.8</v>
      </c>
      <c r="J40" s="257" t="s">
        <v>2153</v>
      </c>
      <c r="K40" s="257"/>
      <c r="L40" s="110" t="s">
        <v>1759</v>
      </c>
      <c r="M40" s="102" t="e">
        <f ca="1">gfSumIfColor(I36:I68,gfCelColorName(L40))</f>
        <v>#NAME?</v>
      </c>
    </row>
    <row r="41" spans="1:13" ht="15.75" x14ac:dyDescent="0.25">
      <c r="B41" s="102"/>
      <c r="D41" s="102"/>
      <c r="E41" s="102"/>
      <c r="H41" s="118">
        <v>44376</v>
      </c>
      <c r="I41" s="99">
        <v>169</v>
      </c>
      <c r="J41" s="253" t="s">
        <v>2154</v>
      </c>
      <c r="K41" s="254"/>
      <c r="L41" s="111" t="s">
        <v>1760</v>
      </c>
      <c r="M41" s="113" t="e">
        <f ca="1">gfSumIfColor(I36:I68,gfCelColorName(L41))</f>
        <v>#NAME?</v>
      </c>
    </row>
    <row r="42" spans="1:13" ht="15.75" x14ac:dyDescent="0.25">
      <c r="B42" s="57"/>
      <c r="H42" s="118">
        <v>44400</v>
      </c>
      <c r="I42" s="109">
        <v>57.59</v>
      </c>
      <c r="J42" s="255" t="s">
        <v>2155</v>
      </c>
      <c r="K42" s="256"/>
    </row>
    <row r="43" spans="1:13" ht="15.75" x14ac:dyDescent="0.25">
      <c r="B43" s="57"/>
      <c r="C43" s="102"/>
      <c r="H43" s="118">
        <v>44407</v>
      </c>
      <c r="I43" s="99">
        <v>263.3</v>
      </c>
      <c r="J43" s="253" t="s">
        <v>2156</v>
      </c>
      <c r="K43" s="254"/>
    </row>
    <row r="44" spans="1:13" ht="15.75" x14ac:dyDescent="0.25">
      <c r="C44" s="102"/>
      <c r="E44" s="57"/>
      <c r="H44" s="118">
        <v>44551</v>
      </c>
      <c r="I44" s="109">
        <v>154.18</v>
      </c>
      <c r="J44" s="253" t="s">
        <v>158</v>
      </c>
      <c r="K44" s="254"/>
    </row>
    <row r="45" spans="1:13" ht="15.75" x14ac:dyDescent="0.25">
      <c r="C45" s="102"/>
      <c r="H45" s="118">
        <v>44551</v>
      </c>
      <c r="I45" s="109">
        <v>94.52</v>
      </c>
      <c r="J45" s="253" t="s">
        <v>272</v>
      </c>
      <c r="K45" s="254"/>
    </row>
    <row r="46" spans="1:13" ht="15.75" x14ac:dyDescent="0.25">
      <c r="C46" s="102"/>
      <c r="H46" s="118">
        <v>44553</v>
      </c>
      <c r="I46" s="97">
        <v>1040</v>
      </c>
      <c r="J46" s="255" t="s">
        <v>2164</v>
      </c>
      <c r="K46" s="256"/>
    </row>
    <row r="47" spans="1:13" ht="15.75" x14ac:dyDescent="0.25">
      <c r="C47" s="102"/>
      <c r="H47" s="118">
        <v>44571</v>
      </c>
      <c r="I47" s="120">
        <v>10000</v>
      </c>
      <c r="J47" s="253" t="s">
        <v>2174</v>
      </c>
      <c r="K47" s="254"/>
    </row>
    <row r="48" spans="1:13" ht="15.75" x14ac:dyDescent="0.25">
      <c r="C48" s="102"/>
      <c r="H48" s="118">
        <v>44571</v>
      </c>
      <c r="I48" s="53">
        <f>1800+(9*21)-(14.5*9)</f>
        <v>1858.5</v>
      </c>
      <c r="J48" s="253" t="s">
        <v>2175</v>
      </c>
      <c r="K48" s="254"/>
    </row>
    <row r="49" spans="3:11" ht="15.75" x14ac:dyDescent="0.25">
      <c r="C49" s="102"/>
      <c r="H49" s="118"/>
      <c r="I49" s="53"/>
      <c r="J49" s="255"/>
      <c r="K49" s="256"/>
    </row>
    <row r="50" spans="3:11" ht="15.75" x14ac:dyDescent="0.25">
      <c r="C50" s="102"/>
      <c r="H50" s="118"/>
      <c r="I50" s="53"/>
      <c r="J50" s="255"/>
      <c r="K50" s="256"/>
    </row>
    <row r="51" spans="3:11" ht="15.75" x14ac:dyDescent="0.25">
      <c r="C51" s="102"/>
      <c r="H51" s="118"/>
      <c r="I51" s="53"/>
      <c r="J51" s="257"/>
      <c r="K51" s="257"/>
    </row>
    <row r="52" spans="3:11" ht="15.75" x14ac:dyDescent="0.25">
      <c r="C52" s="102"/>
      <c r="H52" s="118"/>
      <c r="I52" s="53"/>
      <c r="J52" s="255"/>
      <c r="K52" s="256"/>
    </row>
    <row r="53" spans="3:11" ht="15.75" x14ac:dyDescent="0.25">
      <c r="C53" s="102"/>
      <c r="H53" s="118"/>
      <c r="I53" s="53"/>
      <c r="J53" s="255"/>
      <c r="K53" s="256"/>
    </row>
    <row r="54" spans="3:11" ht="15.75" x14ac:dyDescent="0.25">
      <c r="C54" s="102"/>
      <c r="H54" s="118"/>
      <c r="I54" s="120"/>
      <c r="J54" s="255"/>
      <c r="K54" s="256"/>
    </row>
    <row r="55" spans="3:11" ht="15.75" x14ac:dyDescent="0.25">
      <c r="C55" s="102"/>
      <c r="G55" s="112"/>
      <c r="H55" s="118"/>
      <c r="I55" s="53"/>
      <c r="J55" s="257"/>
      <c r="K55" s="257"/>
    </row>
    <row r="56" spans="3:11" ht="15.75" x14ac:dyDescent="0.25">
      <c r="C56" s="102"/>
      <c r="H56" s="118"/>
      <c r="I56" s="53"/>
      <c r="J56" s="255"/>
      <c r="K56" s="256"/>
    </row>
    <row r="57" spans="3:11" ht="15.75" x14ac:dyDescent="0.25">
      <c r="C57" s="102"/>
      <c r="H57" s="118"/>
      <c r="I57" s="53"/>
      <c r="J57" s="253"/>
      <c r="K57" s="254"/>
    </row>
    <row r="58" spans="3:11" ht="15.75" x14ac:dyDescent="0.25">
      <c r="H58" s="118"/>
      <c r="I58" s="53"/>
      <c r="J58" s="253"/>
      <c r="K58" s="254"/>
    </row>
    <row r="59" spans="3:11" ht="15.75" x14ac:dyDescent="0.25">
      <c r="H59" s="118"/>
      <c r="I59" s="53"/>
      <c r="J59" s="253"/>
      <c r="K59" s="254"/>
    </row>
    <row r="60" spans="3:11" ht="15.75" x14ac:dyDescent="0.25">
      <c r="H60" s="118"/>
      <c r="I60" s="53"/>
      <c r="J60" s="253"/>
      <c r="K60" s="254"/>
    </row>
    <row r="61" spans="3:11" ht="15.75" x14ac:dyDescent="0.25">
      <c r="H61" s="118"/>
      <c r="I61" s="53"/>
      <c r="J61" s="253"/>
      <c r="K61" s="254"/>
    </row>
    <row r="62" spans="3:11" ht="15.75" x14ac:dyDescent="0.25">
      <c r="H62" s="118"/>
      <c r="I62" s="53"/>
      <c r="J62" s="253"/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x14ac:dyDescent="0.25">
      <c r="I72" s="57">
        <f>SUM(I36:I71)</f>
        <v>17707.64</v>
      </c>
    </row>
  </sheetData>
  <mergeCells count="82">
    <mergeCell ref="A1:B1"/>
    <mergeCell ref="D1:F1"/>
    <mergeCell ref="H1:M1"/>
    <mergeCell ref="A2:B2"/>
    <mergeCell ref="D2:F2"/>
    <mergeCell ref="J2:K2"/>
    <mergeCell ref="A17:B17"/>
    <mergeCell ref="D17:F17"/>
    <mergeCell ref="J17:K17"/>
    <mergeCell ref="J3:K3"/>
    <mergeCell ref="J4:K4"/>
    <mergeCell ref="J5:K5"/>
    <mergeCell ref="J6:K6"/>
    <mergeCell ref="J7:K7"/>
    <mergeCell ref="D12:F12"/>
    <mergeCell ref="J12:K12"/>
    <mergeCell ref="J23:K23"/>
    <mergeCell ref="J13:K13"/>
    <mergeCell ref="J14:K14"/>
    <mergeCell ref="J15:K15"/>
    <mergeCell ref="J16:K16"/>
    <mergeCell ref="J18:K18"/>
    <mergeCell ref="J19:K19"/>
    <mergeCell ref="J20:K20"/>
    <mergeCell ref="J21:K21"/>
    <mergeCell ref="J22:K22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J35:K35"/>
    <mergeCell ref="L35:M35"/>
    <mergeCell ref="J36:K36"/>
    <mergeCell ref="J37:K37"/>
    <mergeCell ref="J38:K38"/>
    <mergeCell ref="L38:M38"/>
    <mergeCell ref="J50:K50"/>
    <mergeCell ref="J39:K39"/>
    <mergeCell ref="J40:K40"/>
    <mergeCell ref="J41:K41"/>
    <mergeCell ref="J42:K42"/>
    <mergeCell ref="J43:K43"/>
    <mergeCell ref="J44:K44"/>
    <mergeCell ref="J45:K45"/>
    <mergeCell ref="J46:K46"/>
    <mergeCell ref="J47:K47"/>
    <mergeCell ref="J48:K48"/>
    <mergeCell ref="J49:K49"/>
    <mergeCell ref="J60:K60"/>
    <mergeCell ref="J61:K61"/>
    <mergeCell ref="J62:K62"/>
    <mergeCell ref="J51:K51"/>
    <mergeCell ref="J52:K52"/>
    <mergeCell ref="J53:K53"/>
    <mergeCell ref="J54:K54"/>
    <mergeCell ref="J55:K55"/>
    <mergeCell ref="J56:K56"/>
    <mergeCell ref="J69:K69"/>
    <mergeCell ref="J70:K70"/>
    <mergeCell ref="J71:K71"/>
    <mergeCell ref="J8:K8"/>
    <mergeCell ref="J9:K9"/>
    <mergeCell ref="J10:K10"/>
    <mergeCell ref="J11:K11"/>
    <mergeCell ref="J63:K63"/>
    <mergeCell ref="J64:K64"/>
    <mergeCell ref="J65:K65"/>
    <mergeCell ref="J66:K66"/>
    <mergeCell ref="J67:K67"/>
    <mergeCell ref="J68:K68"/>
    <mergeCell ref="J57:K57"/>
    <mergeCell ref="J58:K58"/>
    <mergeCell ref="J59:K5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Planilha71"/>
  <dimension ref="A1:M72"/>
  <sheetViews>
    <sheetView tabSelected="1" topLeftCell="F1" zoomScale="85" zoomScaleNormal="85" workbookViewId="0">
      <selection activeCell="L11" sqref="L11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22.710937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1296</v>
      </c>
      <c r="B1" s="184"/>
      <c r="C1" s="10"/>
      <c r="D1" s="229" t="s">
        <v>55</v>
      </c>
      <c r="E1" s="230"/>
      <c r="F1" s="231"/>
      <c r="H1" s="184" t="s">
        <v>2184</v>
      </c>
      <c r="I1" s="184"/>
      <c r="J1" s="184"/>
      <c r="K1" s="184"/>
      <c r="L1" s="184"/>
      <c r="M1" s="184"/>
    </row>
    <row r="2" spans="1:13" ht="19.5" thickBot="1" x14ac:dyDescent="0.35">
      <c r="A2" s="184" t="s">
        <v>2183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36645</v>
      </c>
      <c r="C3" s="11"/>
      <c r="D3" s="91" t="s">
        <v>1</v>
      </c>
      <c r="E3" s="91" t="s">
        <v>6</v>
      </c>
      <c r="F3" s="92" t="s">
        <v>13</v>
      </c>
      <c r="H3" s="118">
        <v>44575</v>
      </c>
      <c r="I3" s="97">
        <v>1000</v>
      </c>
      <c r="J3" s="255"/>
      <c r="K3" s="256"/>
      <c r="L3" s="161" t="s">
        <v>2052</v>
      </c>
      <c r="M3" s="161" t="s">
        <v>267</v>
      </c>
    </row>
    <row r="4" spans="1:13" ht="15.75" x14ac:dyDescent="0.25">
      <c r="A4" s="2"/>
      <c r="B4" s="3"/>
      <c r="C4" s="11"/>
      <c r="D4" s="73"/>
      <c r="E4" s="53"/>
      <c r="F4" s="74"/>
      <c r="G4" s="113"/>
      <c r="H4" s="118">
        <v>44578</v>
      </c>
      <c r="I4" s="169">
        <v>100</v>
      </c>
      <c r="J4" s="255" t="s">
        <v>2186</v>
      </c>
      <c r="K4" s="256"/>
      <c r="L4" s="161" t="s">
        <v>1147</v>
      </c>
      <c r="M4" s="161" t="s">
        <v>267</v>
      </c>
    </row>
    <row r="5" spans="1:13" ht="15.75" x14ac:dyDescent="0.25">
      <c r="A5" s="2" t="s">
        <v>4</v>
      </c>
      <c r="B5" s="3">
        <f>SUM(I36:I71)</f>
        <v>12986.580000000002</v>
      </c>
      <c r="C5" s="11"/>
      <c r="D5" s="76"/>
      <c r="E5" s="53">
        <v>1000</v>
      </c>
      <c r="F5" s="86" t="s">
        <v>2196</v>
      </c>
      <c r="H5" s="118">
        <v>44579</v>
      </c>
      <c r="I5" s="168">
        <v>100</v>
      </c>
      <c r="J5" s="255"/>
      <c r="K5" s="256"/>
      <c r="L5" s="161" t="s">
        <v>2252</v>
      </c>
      <c r="M5" s="161" t="s">
        <v>267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2177</v>
      </c>
      <c r="H6" s="118">
        <v>44581</v>
      </c>
      <c r="I6" s="97">
        <v>1000</v>
      </c>
      <c r="J6" s="255"/>
      <c r="K6" s="256"/>
      <c r="L6" s="161" t="s">
        <v>2187</v>
      </c>
      <c r="M6" s="161" t="s">
        <v>267</v>
      </c>
    </row>
    <row r="7" spans="1:13" ht="15.75" x14ac:dyDescent="0.25">
      <c r="A7" s="12" t="s">
        <v>5</v>
      </c>
      <c r="B7" s="25">
        <f>B3+B4-B5</f>
        <v>23658.42</v>
      </c>
      <c r="C7" s="11"/>
      <c r="D7" s="73">
        <v>44456</v>
      </c>
      <c r="E7" s="109">
        <v>393.21</v>
      </c>
      <c r="F7" s="74" t="s">
        <v>2178</v>
      </c>
      <c r="H7" s="118">
        <v>44582</v>
      </c>
      <c r="I7" s="58">
        <v>500</v>
      </c>
      <c r="J7" s="255"/>
      <c r="K7" s="256"/>
      <c r="L7" s="161" t="s">
        <v>2097</v>
      </c>
      <c r="M7" s="161" t="s">
        <v>267</v>
      </c>
    </row>
    <row r="8" spans="1:13" ht="15.75" x14ac:dyDescent="0.25">
      <c r="A8" s="2"/>
      <c r="B8" s="3"/>
      <c r="C8" s="11"/>
      <c r="D8" s="138"/>
      <c r="E8" s="167">
        <v>500</v>
      </c>
      <c r="F8" s="74" t="s">
        <v>2191</v>
      </c>
      <c r="H8" s="118">
        <v>44585</v>
      </c>
      <c r="I8" s="97">
        <v>300</v>
      </c>
      <c r="J8" s="255"/>
      <c r="K8" s="256"/>
      <c r="L8" s="161" t="s">
        <v>2188</v>
      </c>
      <c r="M8" s="161" t="s">
        <v>267</v>
      </c>
    </row>
    <row r="9" spans="1:13" ht="15.75" x14ac:dyDescent="0.25">
      <c r="A9" s="2"/>
      <c r="B9" s="3"/>
      <c r="C9" s="11"/>
      <c r="D9" s="138"/>
      <c r="E9" s="53">
        <v>-400</v>
      </c>
      <c r="F9" s="88" t="s">
        <v>2192</v>
      </c>
      <c r="G9" s="42"/>
      <c r="H9" s="118">
        <v>44580</v>
      </c>
      <c r="I9" s="120">
        <v>1500</v>
      </c>
      <c r="J9" s="255" t="s">
        <v>788</v>
      </c>
      <c r="K9" s="256"/>
      <c r="L9" s="161" t="s">
        <v>2138</v>
      </c>
      <c r="M9" s="161" t="s">
        <v>268</v>
      </c>
    </row>
    <row r="10" spans="1:13" ht="16.5" thickBot="1" x14ac:dyDescent="0.3">
      <c r="A10" s="2"/>
      <c r="B10" s="3"/>
      <c r="C10" s="11"/>
      <c r="D10" s="78"/>
      <c r="E10" s="79">
        <v>-800</v>
      </c>
      <c r="F10" s="89" t="s">
        <v>2213</v>
      </c>
      <c r="H10" s="118">
        <v>44545</v>
      </c>
      <c r="I10" s="120">
        <v>707</v>
      </c>
      <c r="J10" s="255" t="s">
        <v>1904</v>
      </c>
      <c r="K10" s="256"/>
      <c r="L10" s="161" t="s">
        <v>2189</v>
      </c>
      <c r="M10" s="161" t="s">
        <v>268</v>
      </c>
    </row>
    <row r="11" spans="1:13" ht="16.5" thickBot="1" x14ac:dyDescent="0.3">
      <c r="A11" s="2" t="s">
        <v>59</v>
      </c>
      <c r="B11" s="3">
        <f>(B7-B9)/2</f>
        <v>11829.21</v>
      </c>
      <c r="C11" s="11"/>
      <c r="D11" s="80" t="s">
        <v>23</v>
      </c>
      <c r="E11" s="81">
        <f>SUM(E4:E10)</f>
        <v>783.69</v>
      </c>
      <c r="F11" s="82"/>
      <c r="G11" s="57"/>
      <c r="H11" s="118">
        <v>44590</v>
      </c>
      <c r="I11" s="159">
        <v>1000</v>
      </c>
      <c r="J11" s="255"/>
      <c r="K11" s="256"/>
      <c r="L11" s="161" t="s">
        <v>2190</v>
      </c>
      <c r="M11" s="161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G12" s="57"/>
      <c r="H12" s="118">
        <v>44590</v>
      </c>
      <c r="I12" s="97">
        <v>200</v>
      </c>
      <c r="J12" s="255"/>
      <c r="K12" s="256"/>
      <c r="L12" s="161" t="s">
        <v>2188</v>
      </c>
      <c r="M12" s="161" t="s">
        <v>267</v>
      </c>
    </row>
    <row r="13" spans="1:13" ht="15.75" x14ac:dyDescent="0.25">
      <c r="A13" s="2"/>
      <c r="B13" s="3"/>
      <c r="C13" s="11"/>
      <c r="D13" s="76"/>
      <c r="E13" s="149">
        <v>400</v>
      </c>
      <c r="F13" s="150" t="s">
        <v>2192</v>
      </c>
      <c r="H13" s="118">
        <v>44596</v>
      </c>
      <c r="I13" s="168">
        <v>600</v>
      </c>
      <c r="J13" s="182"/>
      <c r="K13" s="183"/>
      <c r="L13" s="8" t="s">
        <v>2119</v>
      </c>
      <c r="M13" s="161" t="s">
        <v>267</v>
      </c>
    </row>
    <row r="14" spans="1:13" ht="15.75" x14ac:dyDescent="0.25">
      <c r="A14" s="2"/>
      <c r="B14" s="3"/>
      <c r="C14" s="11"/>
      <c r="D14" s="73"/>
      <c r="E14" s="120">
        <f>I9+I10+I16+I17+I19+I20</f>
        <v>30395</v>
      </c>
      <c r="F14" s="74"/>
      <c r="H14" s="118">
        <v>44599</v>
      </c>
      <c r="I14" s="58">
        <v>100</v>
      </c>
      <c r="J14" s="255"/>
      <c r="K14" s="256"/>
      <c r="L14" s="8" t="s">
        <v>2095</v>
      </c>
      <c r="M14" s="161" t="s">
        <v>267</v>
      </c>
    </row>
    <row r="15" spans="1:13" ht="16.5" thickBot="1" x14ac:dyDescent="0.3">
      <c r="A15" s="2"/>
      <c r="B15" s="3"/>
      <c r="C15" s="11"/>
      <c r="D15" s="76"/>
      <c r="E15" s="120"/>
      <c r="F15" s="151"/>
      <c r="H15" s="118">
        <v>44596</v>
      </c>
      <c r="I15" s="97">
        <v>1000</v>
      </c>
      <c r="J15" s="255"/>
      <c r="K15" s="256"/>
      <c r="L15" s="162" t="s">
        <v>2195</v>
      </c>
      <c r="M15" s="161" t="s">
        <v>267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30795</v>
      </c>
      <c r="F16" s="82"/>
      <c r="H16" s="118">
        <v>44571</v>
      </c>
      <c r="I16" s="120">
        <v>500</v>
      </c>
      <c r="J16" s="255" t="s">
        <v>2197</v>
      </c>
      <c r="K16" s="256"/>
      <c r="L16" s="161" t="s">
        <v>2143</v>
      </c>
      <c r="M16" s="161" t="s">
        <v>267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118">
        <v>44599</v>
      </c>
      <c r="I17" s="120">
        <v>500</v>
      </c>
      <c r="J17" s="255" t="s">
        <v>2198</v>
      </c>
      <c r="K17" s="256"/>
      <c r="L17" s="161" t="s">
        <v>2143</v>
      </c>
      <c r="M17" s="161" t="s">
        <v>267</v>
      </c>
    </row>
    <row r="18" spans="1:13" ht="15.75" x14ac:dyDescent="0.25">
      <c r="A18" s="2"/>
      <c r="B18" s="3"/>
      <c r="C18" s="1"/>
      <c r="D18" s="76"/>
      <c r="E18" s="120"/>
      <c r="F18" s="150"/>
      <c r="G18" s="121"/>
      <c r="H18" s="118">
        <v>44600</v>
      </c>
      <c r="I18" s="58">
        <v>350</v>
      </c>
      <c r="J18" s="255"/>
      <c r="K18" s="256"/>
      <c r="L18" s="161" t="s">
        <v>1973</v>
      </c>
      <c r="M18" s="161" t="s">
        <v>267</v>
      </c>
    </row>
    <row r="19" spans="1:13" ht="15.75" x14ac:dyDescent="0.25">
      <c r="A19" s="2" t="s">
        <v>57</v>
      </c>
      <c r="B19" s="3">
        <f>B11-E11-B53</f>
        <v>11045.519999999999</v>
      </c>
      <c r="C19" s="1"/>
      <c r="D19" s="76"/>
      <c r="E19" s="120"/>
      <c r="F19" s="151"/>
      <c r="H19" s="118">
        <v>44600</v>
      </c>
      <c r="I19" s="120">
        <v>27038</v>
      </c>
      <c r="J19" s="255" t="s">
        <v>2200</v>
      </c>
      <c r="K19" s="256"/>
      <c r="L19" s="161" t="s">
        <v>2238</v>
      </c>
      <c r="M19" s="161" t="s">
        <v>268</v>
      </c>
    </row>
    <row r="20" spans="1:13" ht="15.75" x14ac:dyDescent="0.25">
      <c r="A20" s="2" t="s">
        <v>12</v>
      </c>
      <c r="B20" s="3" t="e">
        <f ca="1">B11+G4+M39-E16</f>
        <v>#NAME?</v>
      </c>
      <c r="C20" s="11"/>
      <c r="D20" s="76"/>
      <c r="E20" s="120"/>
      <c r="F20" s="8"/>
      <c r="H20" s="118">
        <v>44601</v>
      </c>
      <c r="I20" s="120">
        <v>150</v>
      </c>
      <c r="J20" s="255" t="s">
        <v>1904</v>
      </c>
      <c r="K20" s="256"/>
      <c r="L20" s="161" t="s">
        <v>2160</v>
      </c>
      <c r="M20" s="161" t="s">
        <v>268</v>
      </c>
    </row>
    <row r="21" spans="1:13" ht="15.75" x14ac:dyDescent="0.25">
      <c r="A21" s="2"/>
      <c r="B21" s="3"/>
      <c r="C21" s="1"/>
      <c r="D21" s="76"/>
      <c r="E21" s="120"/>
      <c r="F21" s="151"/>
      <c r="H21" s="118"/>
      <c r="I21" s="120"/>
      <c r="J21" s="255"/>
      <c r="K21" s="256"/>
      <c r="L21" s="161"/>
      <c r="M21" s="161"/>
    </row>
    <row r="22" spans="1:13" ht="15.75" x14ac:dyDescent="0.25">
      <c r="A22" s="2"/>
      <c r="B22" s="2"/>
      <c r="C22" s="1"/>
      <c r="D22" s="76"/>
      <c r="E22" s="120"/>
      <c r="F22" s="151"/>
      <c r="H22" s="118"/>
      <c r="I22" s="120"/>
      <c r="J22" s="255"/>
      <c r="K22" s="256"/>
      <c r="L22" s="161"/>
      <c r="M22" s="161"/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0</v>
      </c>
      <c r="F23" s="147"/>
      <c r="G23" s="1"/>
      <c r="H23" s="118"/>
      <c r="I23" s="120"/>
      <c r="J23" s="255"/>
      <c r="K23" s="256"/>
      <c r="L23" s="161"/>
      <c r="M23" s="161"/>
    </row>
    <row r="24" spans="1:13" ht="16.5" thickBot="1" x14ac:dyDescent="0.3">
      <c r="A24" s="18"/>
      <c r="B24" s="18"/>
      <c r="C24" s="18"/>
      <c r="G24" s="77"/>
      <c r="H24" s="6"/>
      <c r="I24" s="120"/>
      <c r="J24" s="182"/>
      <c r="K24" s="183"/>
      <c r="L24" s="8"/>
      <c r="M24" s="8"/>
    </row>
    <row r="25" spans="1:13" ht="16.5" thickBot="1" x14ac:dyDescent="0.3">
      <c r="A25" s="258" t="s">
        <v>1744</v>
      </c>
      <c r="B25" s="259"/>
      <c r="C25" s="141">
        <v>44571</v>
      </c>
      <c r="D25" s="65" t="s">
        <v>1748</v>
      </c>
      <c r="E25" s="66" t="s">
        <v>1749</v>
      </c>
      <c r="G25" s="1"/>
      <c r="H25" s="6"/>
      <c r="I25" s="120"/>
      <c r="J25" s="182"/>
      <c r="K25" s="183"/>
      <c r="L25" s="8"/>
      <c r="M25" s="8"/>
    </row>
    <row r="26" spans="1:13" ht="15.75" x14ac:dyDescent="0.25">
      <c r="A26" s="59" t="s">
        <v>1745</v>
      </c>
      <c r="B26" s="93"/>
      <c r="C26" s="94"/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2"/>
      <c r="K26" s="183"/>
      <c r="L26" s="8"/>
      <c r="M26" s="8"/>
    </row>
    <row r="27" spans="1:13" ht="19.5" thickBot="1" x14ac:dyDescent="0.35">
      <c r="A27" s="60" t="s">
        <v>1746</v>
      </c>
      <c r="B27" s="61"/>
      <c r="C27" s="61">
        <v>2400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36645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2400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A29" s="57">
        <f>E14</f>
        <v>30395</v>
      </c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J30" s="180" t="s">
        <v>65</v>
      </c>
      <c r="K30" s="180"/>
      <c r="L30" s="180" t="s">
        <v>67</v>
      </c>
      <c r="M30" s="180"/>
    </row>
    <row r="31" spans="1:13" x14ac:dyDescent="0.25">
      <c r="A31" s="57">
        <f>A29-B19</f>
        <v>19349.480000000003</v>
      </c>
      <c r="H31" s="57"/>
      <c r="L31" s="180"/>
      <c r="M31" s="180"/>
    </row>
    <row r="32" spans="1:13" x14ac:dyDescent="0.25">
      <c r="A32" s="170">
        <f>A31-5000</f>
        <v>14349.480000000003</v>
      </c>
      <c r="L32" s="18"/>
      <c r="M32" s="18"/>
    </row>
    <row r="33" spans="1:13" x14ac:dyDescent="0.25">
      <c r="A33" s="170">
        <f>A32-11943.41</f>
        <v>2406.0700000000033</v>
      </c>
      <c r="B33" s="57"/>
      <c r="L33" s="18"/>
      <c r="M33" s="18"/>
    </row>
    <row r="34" spans="1:13" ht="18.75" x14ac:dyDescent="0.3">
      <c r="A34" s="57"/>
      <c r="B34" s="158"/>
      <c r="C34" s="57"/>
      <c r="H34" s="184" t="s">
        <v>2185</v>
      </c>
      <c r="I34" s="184"/>
      <c r="J34" s="184"/>
      <c r="K34" s="184"/>
      <c r="L34" s="180"/>
      <c r="M34" s="180"/>
    </row>
    <row r="35" spans="1:13" ht="15.75" x14ac:dyDescent="0.25">
      <c r="B35" s="102"/>
      <c r="C35" t="s">
        <v>2092</v>
      </c>
      <c r="D35" s="42"/>
      <c r="E35" s="102"/>
      <c r="F35" t="s">
        <v>2093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C36" s="57">
        <f>'Dezembro-21'!C36+'Janeiro-22'!I57</f>
        <v>85000</v>
      </c>
      <c r="D36" s="42"/>
      <c r="E36" s="102"/>
      <c r="F36" s="57">
        <f>I42</f>
        <v>57.59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C37" s="57"/>
      <c r="D37" s="57"/>
      <c r="E37" s="102"/>
      <c r="F37" s="57"/>
      <c r="H37" s="118"/>
      <c r="I37" s="53">
        <f>1500-E23</f>
        <v>1500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/>
      <c r="I39" s="53">
        <v>103.65</v>
      </c>
      <c r="J39" s="253" t="s">
        <v>888</v>
      </c>
      <c r="K39" s="254"/>
      <c r="L39" s="100" t="s">
        <v>1754</v>
      </c>
      <c r="M39" s="102" t="e">
        <f ca="1">gfSumIfColor(I36:I68,gfCelColorName(L39))</f>
        <v>#NAME?</v>
      </c>
    </row>
    <row r="40" spans="1:13" ht="15.75" x14ac:dyDescent="0.25">
      <c r="B40" s="102"/>
      <c r="D40" s="42"/>
      <c r="E40" s="102"/>
      <c r="G40" s="112"/>
      <c r="H40" s="118">
        <v>44376</v>
      </c>
      <c r="I40" s="109">
        <v>739.8</v>
      </c>
      <c r="J40" s="257" t="s">
        <v>2179</v>
      </c>
      <c r="K40" s="257"/>
      <c r="L40" s="110" t="s">
        <v>1759</v>
      </c>
      <c r="M40" s="102" t="e">
        <f ca="1">gfSumIfColor(I36:I68,gfCelColorName(L40))</f>
        <v>#NAME?</v>
      </c>
    </row>
    <row r="41" spans="1:13" ht="15.75" x14ac:dyDescent="0.25">
      <c r="B41" s="102"/>
      <c r="D41" s="102"/>
      <c r="E41" s="102"/>
      <c r="H41" s="118">
        <v>44376</v>
      </c>
      <c r="I41" s="99">
        <v>169</v>
      </c>
      <c r="J41" s="253" t="s">
        <v>2180</v>
      </c>
      <c r="K41" s="254"/>
      <c r="L41" s="111" t="s">
        <v>1760</v>
      </c>
      <c r="M41" s="113" t="e">
        <f ca="1">gfSumIfColor(I36:I68,gfCelColorName(L41))</f>
        <v>#NAME?</v>
      </c>
    </row>
    <row r="42" spans="1:13" ht="15.75" x14ac:dyDescent="0.25">
      <c r="B42" s="57"/>
      <c r="H42" s="118">
        <v>44400</v>
      </c>
      <c r="I42" s="109">
        <v>57.59</v>
      </c>
      <c r="J42" s="255" t="s">
        <v>2181</v>
      </c>
      <c r="K42" s="256"/>
    </row>
    <row r="43" spans="1:13" ht="15.75" x14ac:dyDescent="0.25">
      <c r="B43" s="57"/>
      <c r="C43" s="102"/>
      <c r="H43" s="118">
        <v>44407</v>
      </c>
      <c r="I43" s="99">
        <v>263.3</v>
      </c>
      <c r="J43" s="253" t="s">
        <v>2182</v>
      </c>
      <c r="K43" s="254"/>
    </row>
    <row r="44" spans="1:13" ht="15.75" x14ac:dyDescent="0.25">
      <c r="C44" s="102"/>
      <c r="E44" s="57"/>
      <c r="H44" s="118">
        <v>44571</v>
      </c>
      <c r="I44" s="109">
        <v>68.5</v>
      </c>
      <c r="J44" s="253" t="s">
        <v>1997</v>
      </c>
      <c r="K44" s="254"/>
    </row>
    <row r="45" spans="1:13" ht="15.75" x14ac:dyDescent="0.25">
      <c r="C45" s="102"/>
      <c r="H45" s="118">
        <v>44572</v>
      </c>
      <c r="I45" s="109">
        <v>68</v>
      </c>
      <c r="J45" s="253" t="s">
        <v>1997</v>
      </c>
      <c r="K45" s="254"/>
    </row>
    <row r="46" spans="1:13" ht="15.75" x14ac:dyDescent="0.25">
      <c r="C46" s="102"/>
      <c r="H46" s="118">
        <v>44574</v>
      </c>
      <c r="I46" s="97">
        <v>53</v>
      </c>
      <c r="J46" s="253" t="s">
        <v>1997</v>
      </c>
      <c r="K46" s="254"/>
    </row>
    <row r="47" spans="1:13" ht="15.75" x14ac:dyDescent="0.25">
      <c r="C47" s="102"/>
      <c r="H47" s="118">
        <v>44575</v>
      </c>
      <c r="I47" s="97">
        <v>53</v>
      </c>
      <c r="J47" s="253" t="s">
        <v>1997</v>
      </c>
      <c r="K47" s="254"/>
    </row>
    <row r="48" spans="1:13" ht="15.75" x14ac:dyDescent="0.25">
      <c r="C48" s="102"/>
      <c r="H48" s="118">
        <v>44578</v>
      </c>
      <c r="I48" s="109">
        <v>132.84</v>
      </c>
      <c r="J48" s="253" t="s">
        <v>645</v>
      </c>
      <c r="K48" s="254"/>
    </row>
    <row r="49" spans="3:11" ht="15.75" x14ac:dyDescent="0.25">
      <c r="C49" s="102"/>
      <c r="H49" s="118">
        <v>44580</v>
      </c>
      <c r="I49" s="109">
        <v>37.5</v>
      </c>
      <c r="J49" s="253" t="s">
        <v>1997</v>
      </c>
      <c r="K49" s="254"/>
    </row>
    <row r="50" spans="3:11" ht="15.75" x14ac:dyDescent="0.25">
      <c r="C50" s="102"/>
      <c r="H50" s="118">
        <v>44581</v>
      </c>
      <c r="I50" s="109">
        <v>37.5</v>
      </c>
      <c r="J50" s="253" t="s">
        <v>1997</v>
      </c>
      <c r="K50" s="254"/>
    </row>
    <row r="51" spans="3:11" ht="15.75" x14ac:dyDescent="0.25">
      <c r="C51" s="102"/>
      <c r="H51" s="118">
        <v>44582</v>
      </c>
      <c r="I51" s="109">
        <v>37.5</v>
      </c>
      <c r="J51" s="253" t="s">
        <v>1997</v>
      </c>
      <c r="K51" s="254"/>
    </row>
    <row r="52" spans="3:11" ht="15.75" x14ac:dyDescent="0.25">
      <c r="C52" s="102"/>
      <c r="H52" s="118">
        <v>44595</v>
      </c>
      <c r="I52" s="109">
        <v>114</v>
      </c>
      <c r="J52" s="255" t="s">
        <v>2193</v>
      </c>
      <c r="K52" s="256"/>
    </row>
    <row r="53" spans="3:11" ht="15.75" x14ac:dyDescent="0.25">
      <c r="C53" s="102"/>
      <c r="H53" s="118">
        <v>44595</v>
      </c>
      <c r="I53" s="109">
        <v>63</v>
      </c>
      <c r="J53" s="255" t="s">
        <v>2194</v>
      </c>
      <c r="K53" s="256"/>
    </row>
    <row r="54" spans="3:11" ht="15.75" x14ac:dyDescent="0.25">
      <c r="C54" s="102"/>
      <c r="H54" s="118">
        <v>44602</v>
      </c>
      <c r="I54" s="120">
        <f>1800+(22*9)-(14.5*7)</f>
        <v>1896.5</v>
      </c>
      <c r="J54" s="255" t="s">
        <v>2201</v>
      </c>
      <c r="K54" s="256"/>
    </row>
    <row r="55" spans="3:11" ht="15.75" x14ac:dyDescent="0.25">
      <c r="C55" s="102"/>
      <c r="G55" s="112"/>
      <c r="H55" s="118">
        <v>44602</v>
      </c>
      <c r="I55" s="53">
        <v>410</v>
      </c>
      <c r="J55" s="257" t="s">
        <v>2202</v>
      </c>
      <c r="K55" s="257"/>
    </row>
    <row r="56" spans="3:11" ht="15.75" x14ac:dyDescent="0.25">
      <c r="C56" s="102"/>
      <c r="H56" s="118"/>
      <c r="I56" s="53"/>
      <c r="J56" s="255"/>
      <c r="K56" s="256"/>
    </row>
    <row r="57" spans="3:11" ht="15.75" x14ac:dyDescent="0.25">
      <c r="C57" s="102"/>
      <c r="H57" s="118">
        <v>44606</v>
      </c>
      <c r="I57" s="53">
        <v>5000</v>
      </c>
      <c r="J57" s="253" t="s">
        <v>2174</v>
      </c>
      <c r="K57" s="254"/>
    </row>
    <row r="58" spans="3:11" ht="15.75" x14ac:dyDescent="0.25">
      <c r="H58" s="118"/>
      <c r="I58" s="53"/>
      <c r="J58" s="253"/>
      <c r="K58" s="254"/>
    </row>
    <row r="59" spans="3:11" ht="15.75" x14ac:dyDescent="0.25">
      <c r="H59" s="118"/>
      <c r="I59" s="53"/>
      <c r="J59" s="253"/>
      <c r="K59" s="254"/>
    </row>
    <row r="60" spans="3:11" ht="15.75" x14ac:dyDescent="0.25">
      <c r="H60" s="118"/>
      <c r="I60" s="53"/>
      <c r="J60" s="253"/>
      <c r="K60" s="254"/>
    </row>
    <row r="61" spans="3:11" ht="15.75" x14ac:dyDescent="0.25">
      <c r="H61" s="118"/>
      <c r="I61" s="53"/>
      <c r="J61" s="253"/>
      <c r="K61" s="254"/>
    </row>
    <row r="62" spans="3:11" ht="15.75" x14ac:dyDescent="0.25">
      <c r="H62" s="118"/>
      <c r="I62" s="53"/>
      <c r="J62" s="253"/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x14ac:dyDescent="0.25">
      <c r="I72" s="57">
        <f>SUM(I36:I71)</f>
        <v>12986.580000000002</v>
      </c>
    </row>
  </sheetData>
  <mergeCells count="82">
    <mergeCell ref="J8:K8"/>
    <mergeCell ref="J9:K9"/>
    <mergeCell ref="J10:K10"/>
    <mergeCell ref="J11:K11"/>
    <mergeCell ref="A1:B1"/>
    <mergeCell ref="D1:F1"/>
    <mergeCell ref="H1:M1"/>
    <mergeCell ref="A2:B2"/>
    <mergeCell ref="D2:F2"/>
    <mergeCell ref="J2:K2"/>
    <mergeCell ref="J3:K3"/>
    <mergeCell ref="J4:K4"/>
    <mergeCell ref="J5:K5"/>
    <mergeCell ref="J6:K6"/>
    <mergeCell ref="J7:K7"/>
    <mergeCell ref="D12:F12"/>
    <mergeCell ref="J12:K12"/>
    <mergeCell ref="J23:K23"/>
    <mergeCell ref="J14:K14"/>
    <mergeCell ref="J15:K15"/>
    <mergeCell ref="J16:K16"/>
    <mergeCell ref="J20:K20"/>
    <mergeCell ref="J21:K21"/>
    <mergeCell ref="J22:K22"/>
    <mergeCell ref="J13:K13"/>
    <mergeCell ref="A17:B17"/>
    <mergeCell ref="D17:F17"/>
    <mergeCell ref="J17:K17"/>
    <mergeCell ref="J18:K18"/>
    <mergeCell ref="J19:K19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J35:K35"/>
    <mergeCell ref="L35:M35"/>
    <mergeCell ref="J36:K36"/>
    <mergeCell ref="J37:K37"/>
    <mergeCell ref="J38:K38"/>
    <mergeCell ref="L38:M38"/>
    <mergeCell ref="J50:K50"/>
    <mergeCell ref="J39:K39"/>
    <mergeCell ref="J40:K40"/>
    <mergeCell ref="J41:K41"/>
    <mergeCell ref="J42:K42"/>
    <mergeCell ref="J43:K43"/>
    <mergeCell ref="J44:K44"/>
    <mergeCell ref="J45:K45"/>
    <mergeCell ref="J46:K46"/>
    <mergeCell ref="J47:K47"/>
    <mergeCell ref="J48:K48"/>
    <mergeCell ref="J49:K49"/>
    <mergeCell ref="J62:K62"/>
    <mergeCell ref="J51:K51"/>
    <mergeCell ref="J52:K52"/>
    <mergeCell ref="J53:K53"/>
    <mergeCell ref="J54:K54"/>
    <mergeCell ref="J55:K55"/>
    <mergeCell ref="J56:K56"/>
    <mergeCell ref="J57:K57"/>
    <mergeCell ref="J58:K58"/>
    <mergeCell ref="J59:K59"/>
    <mergeCell ref="J60:K60"/>
    <mergeCell ref="J61:K61"/>
    <mergeCell ref="J69:K69"/>
    <mergeCell ref="J70:K70"/>
    <mergeCell ref="J71:K71"/>
    <mergeCell ref="J63:K63"/>
    <mergeCell ref="J64:K64"/>
    <mergeCell ref="J65:K65"/>
    <mergeCell ref="J66:K66"/>
    <mergeCell ref="J67:K67"/>
    <mergeCell ref="J68:K6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Planilha72"/>
  <dimension ref="A1:M70"/>
  <sheetViews>
    <sheetView topLeftCell="D22" zoomScale="85" zoomScaleNormal="85" workbookViewId="0">
      <selection activeCell="L14" sqref="L14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22.7109375" customWidth="1"/>
    <col min="6" max="6" width="19.570312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1300</v>
      </c>
      <c r="B1" s="184"/>
      <c r="C1" s="10"/>
      <c r="D1" s="229" t="s">
        <v>55</v>
      </c>
      <c r="E1" s="230"/>
      <c r="F1" s="231"/>
      <c r="H1" s="184" t="s">
        <v>2211</v>
      </c>
      <c r="I1" s="184"/>
      <c r="J1" s="184"/>
      <c r="K1" s="184"/>
      <c r="L1" s="184"/>
      <c r="M1" s="184"/>
    </row>
    <row r="2" spans="1:13" ht="19.5" thickBot="1" x14ac:dyDescent="0.35">
      <c r="A2" s="184" t="s">
        <v>2210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68059.070000000007</v>
      </c>
      <c r="C3" s="11"/>
      <c r="D3" s="91" t="s">
        <v>1</v>
      </c>
      <c r="E3" s="91" t="s">
        <v>6</v>
      </c>
      <c r="F3" s="92" t="s">
        <v>13</v>
      </c>
      <c r="H3" s="118">
        <v>44607</v>
      </c>
      <c r="I3" s="97">
        <v>1000</v>
      </c>
      <c r="J3" s="255"/>
      <c r="K3" s="256"/>
      <c r="L3" s="161" t="s">
        <v>2052</v>
      </c>
      <c r="M3" s="161" t="s">
        <v>267</v>
      </c>
    </row>
    <row r="4" spans="1:13" ht="15.75" x14ac:dyDescent="0.25">
      <c r="A4" s="2"/>
      <c r="B4" s="3"/>
      <c r="C4" s="11"/>
      <c r="D4" s="73"/>
      <c r="E4" s="53"/>
      <c r="F4" s="74"/>
      <c r="G4" s="113"/>
      <c r="H4" s="118">
        <v>44608</v>
      </c>
      <c r="I4" s="97">
        <v>2500</v>
      </c>
      <c r="J4" s="255" t="s">
        <v>2229</v>
      </c>
      <c r="K4" s="256"/>
      <c r="L4" s="161" t="s">
        <v>488</v>
      </c>
      <c r="M4" s="161" t="s">
        <v>267</v>
      </c>
    </row>
    <row r="5" spans="1:13" ht="15.75" x14ac:dyDescent="0.25">
      <c r="A5" s="2" t="s">
        <v>4</v>
      </c>
      <c r="B5" s="3">
        <f>SUM(I36:I69)</f>
        <v>44768.76</v>
      </c>
      <c r="C5" s="11"/>
      <c r="D5" s="76"/>
      <c r="E5" s="53"/>
      <c r="F5" s="86"/>
      <c r="H5" s="118">
        <v>44608</v>
      </c>
      <c r="I5" s="120">
        <v>9643.16</v>
      </c>
      <c r="J5" s="255" t="s">
        <v>2236</v>
      </c>
      <c r="K5" s="256"/>
      <c r="L5" s="161" t="s">
        <v>2237</v>
      </c>
      <c r="M5" s="161" t="s">
        <v>268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2203</v>
      </c>
      <c r="H6" s="118">
        <v>44611</v>
      </c>
      <c r="I6" s="97">
        <v>500</v>
      </c>
      <c r="J6" s="255"/>
      <c r="K6" s="256"/>
      <c r="L6" s="161" t="s">
        <v>2187</v>
      </c>
      <c r="M6" s="161" t="s">
        <v>267</v>
      </c>
    </row>
    <row r="7" spans="1:13" ht="15.75" x14ac:dyDescent="0.25">
      <c r="A7" s="12" t="s">
        <v>5</v>
      </c>
      <c r="B7" s="25">
        <f>B3+B4-B5</f>
        <v>23290.310000000005</v>
      </c>
      <c r="C7" s="11"/>
      <c r="D7" s="73">
        <v>44456</v>
      </c>
      <c r="E7" s="109">
        <v>393.21</v>
      </c>
      <c r="F7" s="74" t="s">
        <v>2204</v>
      </c>
      <c r="H7" s="118">
        <v>44613</v>
      </c>
      <c r="I7" s="120">
        <v>6800</v>
      </c>
      <c r="J7" s="255" t="s">
        <v>1801</v>
      </c>
      <c r="K7" s="256"/>
      <c r="L7" s="161" t="s">
        <v>1455</v>
      </c>
      <c r="M7" s="161" t="s">
        <v>268</v>
      </c>
    </row>
    <row r="8" spans="1:13" ht="15.75" x14ac:dyDescent="0.25">
      <c r="A8" s="2"/>
      <c r="B8" s="3"/>
      <c r="C8" s="11"/>
      <c r="D8" s="138"/>
      <c r="E8" s="167">
        <v>-300</v>
      </c>
      <c r="F8" s="74" t="s">
        <v>464</v>
      </c>
      <c r="H8" s="118">
        <v>44613</v>
      </c>
      <c r="I8" s="120">
        <v>5700</v>
      </c>
      <c r="J8" s="255" t="s">
        <v>788</v>
      </c>
      <c r="K8" s="256"/>
      <c r="L8" s="161" t="s">
        <v>2239</v>
      </c>
      <c r="M8" s="161" t="s">
        <v>268</v>
      </c>
    </row>
    <row r="9" spans="1:13" ht="15.75" x14ac:dyDescent="0.25">
      <c r="A9" s="2"/>
      <c r="B9" s="3"/>
      <c r="C9" s="11"/>
      <c r="D9" s="138"/>
      <c r="E9" s="53">
        <v>800</v>
      </c>
      <c r="F9" s="88" t="s">
        <v>2281</v>
      </c>
      <c r="G9" s="42"/>
      <c r="H9" s="118">
        <v>44615</v>
      </c>
      <c r="I9" s="58">
        <v>500</v>
      </c>
      <c r="J9" s="255"/>
      <c r="K9" s="256"/>
      <c r="L9" s="161" t="s">
        <v>2097</v>
      </c>
      <c r="M9" s="161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118">
        <v>44627</v>
      </c>
      <c r="I10" s="120">
        <v>800</v>
      </c>
      <c r="J10" s="255" t="s">
        <v>2280</v>
      </c>
      <c r="K10" s="256"/>
      <c r="L10" s="161" t="s">
        <v>2279</v>
      </c>
      <c r="M10" s="161" t="s">
        <v>267</v>
      </c>
    </row>
    <row r="11" spans="1:13" ht="16.5" thickBot="1" x14ac:dyDescent="0.3">
      <c r="A11" s="2" t="s">
        <v>59</v>
      </c>
      <c r="B11" s="3">
        <f>(B7-B9)/2</f>
        <v>11645.155000000002</v>
      </c>
      <c r="C11" s="11"/>
      <c r="D11" s="80" t="s">
        <v>23</v>
      </c>
      <c r="E11" s="81">
        <f>SUM(E4:E10)</f>
        <v>983.69</v>
      </c>
      <c r="F11" s="82"/>
      <c r="G11" s="57"/>
      <c r="H11" s="118">
        <v>44627</v>
      </c>
      <c r="I11" s="120">
        <v>500</v>
      </c>
      <c r="J11" s="255" t="s">
        <v>2282</v>
      </c>
      <c r="K11" s="256"/>
      <c r="L11" s="161" t="s">
        <v>2143</v>
      </c>
      <c r="M11" s="161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G12" s="57"/>
      <c r="H12" s="118">
        <v>44627</v>
      </c>
      <c r="I12" s="58">
        <v>350</v>
      </c>
      <c r="J12" s="255"/>
      <c r="K12" s="256"/>
      <c r="L12" s="161" t="s">
        <v>1973</v>
      </c>
      <c r="M12" s="161" t="s">
        <v>267</v>
      </c>
    </row>
    <row r="13" spans="1:13" ht="15.75" x14ac:dyDescent="0.25">
      <c r="A13" s="2"/>
      <c r="B13" s="3"/>
      <c r="C13" s="11"/>
      <c r="D13" s="76"/>
      <c r="E13" s="149">
        <v>2406.0700000000002</v>
      </c>
      <c r="F13" s="150" t="s">
        <v>2209</v>
      </c>
      <c r="H13" s="118">
        <v>44628</v>
      </c>
      <c r="I13" s="97">
        <v>1250</v>
      </c>
      <c r="J13" s="255"/>
      <c r="K13" s="256"/>
      <c r="L13" s="161" t="s">
        <v>2283</v>
      </c>
      <c r="M13" s="161" t="s">
        <v>267</v>
      </c>
    </row>
    <row r="14" spans="1:13" ht="15.75" x14ac:dyDescent="0.25">
      <c r="A14" s="2"/>
      <c r="B14" s="3"/>
      <c r="C14" s="11"/>
      <c r="D14" s="73"/>
      <c r="E14" s="120"/>
      <c r="F14" s="74"/>
      <c r="H14" s="118">
        <v>44629</v>
      </c>
      <c r="I14" s="58">
        <v>100</v>
      </c>
      <c r="J14" s="255"/>
      <c r="K14" s="256"/>
      <c r="L14" s="162" t="s">
        <v>2095</v>
      </c>
      <c r="M14" s="161" t="s">
        <v>267</v>
      </c>
    </row>
    <row r="15" spans="1:13" ht="16.5" thickBot="1" x14ac:dyDescent="0.3">
      <c r="A15" s="2"/>
      <c r="B15" s="3"/>
      <c r="C15" s="11"/>
      <c r="D15" s="76"/>
      <c r="E15" s="120"/>
      <c r="F15" s="151"/>
      <c r="H15" s="118">
        <v>44622</v>
      </c>
      <c r="I15" s="120">
        <v>8076.1</v>
      </c>
      <c r="J15" s="255" t="s">
        <v>1904</v>
      </c>
      <c r="K15" s="256"/>
      <c r="L15" s="162" t="s">
        <v>2284</v>
      </c>
      <c r="M15" s="161" t="s">
        <v>268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2406.0700000000002</v>
      </c>
      <c r="F16" s="82"/>
      <c r="H16" s="118">
        <v>44630</v>
      </c>
      <c r="I16" s="120">
        <v>150</v>
      </c>
      <c r="J16" s="255" t="s">
        <v>1904</v>
      </c>
      <c r="K16" s="256"/>
      <c r="L16" s="161" t="s">
        <v>2160</v>
      </c>
      <c r="M16" s="161" t="s">
        <v>268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118">
        <v>44630</v>
      </c>
      <c r="I17" s="120">
        <v>3151.81</v>
      </c>
      <c r="J17" s="255" t="s">
        <v>1904</v>
      </c>
      <c r="K17" s="256"/>
      <c r="L17" s="162" t="s">
        <v>2284</v>
      </c>
      <c r="M17" s="161" t="s">
        <v>268</v>
      </c>
    </row>
    <row r="18" spans="1:13" ht="15.75" x14ac:dyDescent="0.25">
      <c r="A18" s="2"/>
      <c r="B18" s="3"/>
      <c r="C18" s="1"/>
      <c r="D18" s="76"/>
      <c r="E18" s="120"/>
      <c r="F18" s="150"/>
      <c r="G18" s="121"/>
      <c r="H18" s="118">
        <v>44630</v>
      </c>
      <c r="I18" s="120">
        <v>27038</v>
      </c>
      <c r="J18" s="255" t="s">
        <v>1904</v>
      </c>
      <c r="K18" s="256"/>
      <c r="L18" s="161" t="s">
        <v>2238</v>
      </c>
      <c r="M18" s="161" t="s">
        <v>268</v>
      </c>
    </row>
    <row r="19" spans="1:13" ht="15.75" x14ac:dyDescent="0.25">
      <c r="A19" s="2" t="s">
        <v>57</v>
      </c>
      <c r="B19" s="3">
        <f>B11-E11-B53</f>
        <v>10661.465000000002</v>
      </c>
      <c r="C19" s="1"/>
      <c r="D19" s="76"/>
      <c r="E19" s="120"/>
      <c r="F19" s="151"/>
      <c r="H19" s="118"/>
      <c r="I19" s="120"/>
      <c r="J19" s="255"/>
      <c r="K19" s="256"/>
      <c r="L19" s="161"/>
      <c r="M19" s="161"/>
    </row>
    <row r="20" spans="1:13" ht="15.75" x14ac:dyDescent="0.25">
      <c r="A20" s="2" t="s">
        <v>12</v>
      </c>
      <c r="B20" s="3" t="e">
        <f ca="1">B11+G4+M39-E16</f>
        <v>#NAME?</v>
      </c>
      <c r="C20" s="11"/>
      <c r="D20" s="76"/>
      <c r="E20" s="120"/>
      <c r="F20" s="8"/>
      <c r="H20" s="118"/>
      <c r="I20" s="120"/>
      <c r="J20" s="255"/>
      <c r="K20" s="256"/>
      <c r="L20" s="161"/>
      <c r="M20" s="161"/>
    </row>
    <row r="21" spans="1:13" ht="15.75" x14ac:dyDescent="0.25">
      <c r="A21" s="2"/>
      <c r="B21" s="3"/>
      <c r="C21" s="1"/>
      <c r="D21" s="76"/>
      <c r="E21" s="120"/>
      <c r="F21" s="151"/>
      <c r="H21" s="118"/>
      <c r="I21" s="120"/>
      <c r="J21" s="255"/>
      <c r="K21" s="256"/>
      <c r="L21" s="161"/>
      <c r="M21" s="161"/>
    </row>
    <row r="22" spans="1:13" ht="15.75" x14ac:dyDescent="0.25">
      <c r="A22" s="2"/>
      <c r="B22" s="2"/>
      <c r="C22" s="1"/>
      <c r="D22" s="76"/>
      <c r="E22" s="120"/>
      <c r="F22" s="151"/>
      <c r="H22" s="118"/>
      <c r="I22" s="120"/>
      <c r="J22" s="255"/>
      <c r="K22" s="256"/>
      <c r="L22" s="161"/>
      <c r="M22" s="161"/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0</v>
      </c>
      <c r="F23" s="147"/>
      <c r="G23" s="1"/>
      <c r="H23" s="118"/>
      <c r="I23" s="120"/>
      <c r="J23" s="255"/>
      <c r="K23" s="256"/>
      <c r="L23" s="161"/>
      <c r="M23" s="161"/>
    </row>
    <row r="24" spans="1:13" ht="16.5" thickBot="1" x14ac:dyDescent="0.3">
      <c r="A24" s="18"/>
      <c r="B24" s="18"/>
      <c r="C24" s="18"/>
      <c r="G24" s="77"/>
      <c r="H24" s="6"/>
      <c r="I24" s="120"/>
      <c r="J24" s="182"/>
      <c r="K24" s="183"/>
      <c r="L24" s="8"/>
      <c r="M24" s="8"/>
    </row>
    <row r="25" spans="1:13" ht="16.5" thickBot="1" x14ac:dyDescent="0.3">
      <c r="A25" s="258" t="s">
        <v>1744</v>
      </c>
      <c r="B25" s="259"/>
      <c r="C25" s="141">
        <v>44602</v>
      </c>
      <c r="D25" s="65" t="s">
        <v>1748</v>
      </c>
      <c r="E25" s="66" t="s">
        <v>1749</v>
      </c>
      <c r="G25" s="1"/>
      <c r="H25" s="6"/>
      <c r="I25" s="120"/>
      <c r="J25" s="182"/>
      <c r="K25" s="183"/>
      <c r="L25" s="8"/>
      <c r="M25" s="8"/>
    </row>
    <row r="26" spans="1:13" ht="15.75" x14ac:dyDescent="0.25">
      <c r="A26" s="59" t="s">
        <v>1745</v>
      </c>
      <c r="B26" s="93"/>
      <c r="C26" s="94"/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2"/>
      <c r="K26" s="183"/>
      <c r="L26" s="8"/>
      <c r="M26" s="8"/>
    </row>
    <row r="27" spans="1:13" ht="19.5" thickBot="1" x14ac:dyDescent="0.35">
      <c r="A27" s="60" t="s">
        <v>1746</v>
      </c>
      <c r="B27" s="61"/>
      <c r="C27" s="61">
        <v>1300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68059.070000000007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1300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57"/>
      <c r="J30" s="180" t="s">
        <v>65</v>
      </c>
      <c r="K30" s="180"/>
      <c r="L30" s="180" t="s">
        <v>67</v>
      </c>
      <c r="M30" s="180"/>
    </row>
    <row r="31" spans="1:13" x14ac:dyDescent="0.25">
      <c r="A31" s="57">
        <f>I18+I17+I16+I15+I11+I8+I7+I5</f>
        <v>61059.070000000007</v>
      </c>
      <c r="H31" s="57"/>
      <c r="L31" s="180"/>
      <c r="M31" s="180"/>
    </row>
    <row r="32" spans="1:13" x14ac:dyDescent="0.25">
      <c r="A32" s="170">
        <f>A31-1500</f>
        <v>59559.070000000007</v>
      </c>
      <c r="B32" t="s">
        <v>2296</v>
      </c>
      <c r="L32" s="18"/>
      <c r="M32" s="18"/>
    </row>
    <row r="33" spans="1:13" x14ac:dyDescent="0.25">
      <c r="A33" s="170">
        <f>A32-1998</f>
        <v>57561.070000000007</v>
      </c>
      <c r="B33" t="s">
        <v>2299</v>
      </c>
      <c r="L33" s="18"/>
      <c r="M33" s="18"/>
    </row>
    <row r="34" spans="1:13" ht="18.75" x14ac:dyDescent="0.3">
      <c r="A34" s="57">
        <f>A33-5000</f>
        <v>52561.070000000007</v>
      </c>
      <c r="B34" s="158" t="s">
        <v>2174</v>
      </c>
      <c r="C34" s="57"/>
      <c r="H34" s="184" t="s">
        <v>2212</v>
      </c>
      <c r="I34" s="184"/>
      <c r="J34" s="184"/>
      <c r="K34" s="184"/>
      <c r="L34" s="180"/>
      <c r="M34" s="180"/>
    </row>
    <row r="35" spans="1:13" ht="15.75" x14ac:dyDescent="0.25">
      <c r="A35" s="57">
        <f>A34-B19</f>
        <v>41899.605000000003</v>
      </c>
      <c r="B35" s="102" t="s">
        <v>2297</v>
      </c>
      <c r="C35" t="s">
        <v>2092</v>
      </c>
      <c r="D35" s="42"/>
      <c r="E35" s="102"/>
      <c r="F35" t="s">
        <v>2093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A36" s="57"/>
      <c r="B36" s="57"/>
      <c r="C36" s="57">
        <f>'Janeiro-22'!C36+'Fevereiro-22'!I49</f>
        <v>90000</v>
      </c>
      <c r="D36" s="42"/>
      <c r="E36" s="102"/>
      <c r="F36" s="57">
        <f>I40</f>
        <v>57.59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A37" s="57" t="e">
        <f ca="1">A35-B20</f>
        <v>#NAME?</v>
      </c>
      <c r="B37" t="s">
        <v>2158</v>
      </c>
      <c r="C37" s="57"/>
      <c r="D37" s="57"/>
      <c r="E37" s="102"/>
      <c r="F37" s="57"/>
      <c r="H37" s="118"/>
      <c r="I37" s="53">
        <f>1500-E23</f>
        <v>1500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>
        <v>44376</v>
      </c>
      <c r="I38" s="109">
        <v>739.8</v>
      </c>
      <c r="J38" s="257" t="s">
        <v>2205</v>
      </c>
      <c r="K38" s="257"/>
      <c r="L38" s="180"/>
      <c r="M38" s="180"/>
    </row>
    <row r="39" spans="1:13" ht="15.75" x14ac:dyDescent="0.25">
      <c r="B39" s="102"/>
      <c r="D39" s="42"/>
      <c r="E39" s="102"/>
      <c r="H39" s="118">
        <v>44376</v>
      </c>
      <c r="I39" s="99">
        <v>169</v>
      </c>
      <c r="J39" s="253" t="s">
        <v>2206</v>
      </c>
      <c r="K39" s="254"/>
      <c r="L39" s="100" t="s">
        <v>1754</v>
      </c>
      <c r="M39" s="102" t="e">
        <f ca="1">gfSumIfColor(I36:I66,gfCelColorName(L39))</f>
        <v>#NAME?</v>
      </c>
    </row>
    <row r="40" spans="1:13" ht="15.75" x14ac:dyDescent="0.25">
      <c r="B40" s="102"/>
      <c r="D40" s="42"/>
      <c r="E40" s="102"/>
      <c r="G40" s="112"/>
      <c r="H40" s="118">
        <v>44400</v>
      </c>
      <c r="I40" s="109">
        <v>57.59</v>
      </c>
      <c r="J40" s="255" t="s">
        <v>2207</v>
      </c>
      <c r="K40" s="256"/>
      <c r="L40" s="110" t="s">
        <v>1759</v>
      </c>
      <c r="M40" s="102" t="e">
        <f ca="1">gfSumIfColor(I36:I66,gfCelColorName(L40))</f>
        <v>#NAME?</v>
      </c>
    </row>
    <row r="41" spans="1:13" ht="15.75" x14ac:dyDescent="0.25">
      <c r="B41" s="102"/>
      <c r="D41" s="102"/>
      <c r="E41" s="102"/>
      <c r="H41" s="118">
        <v>44407</v>
      </c>
      <c r="I41" s="99">
        <v>263.3</v>
      </c>
      <c r="J41" s="253" t="s">
        <v>2208</v>
      </c>
      <c r="K41" s="254"/>
      <c r="L41" s="111" t="s">
        <v>1760</v>
      </c>
      <c r="M41" s="113" t="e">
        <f ca="1">gfSumIfColor(I36:I66,gfCelColorName(L41))</f>
        <v>#NAME?</v>
      </c>
    </row>
    <row r="42" spans="1:13" ht="15.75" x14ac:dyDescent="0.25">
      <c r="B42" s="57"/>
      <c r="H42" s="118">
        <v>44623</v>
      </c>
      <c r="I42" s="109">
        <v>181.62</v>
      </c>
      <c r="J42" s="253" t="s">
        <v>2259</v>
      </c>
      <c r="K42" s="254"/>
    </row>
    <row r="43" spans="1:13" ht="15.75" x14ac:dyDescent="0.25">
      <c r="B43" s="57"/>
      <c r="C43" s="102"/>
      <c r="H43" s="118">
        <v>44623</v>
      </c>
      <c r="I43" s="109">
        <v>94.42</v>
      </c>
      <c r="J43" s="253" t="s">
        <v>2099</v>
      </c>
      <c r="K43" s="254"/>
    </row>
    <row r="44" spans="1:13" ht="15.75" x14ac:dyDescent="0.25">
      <c r="C44" s="102"/>
      <c r="E44" s="57"/>
      <c r="H44" s="118">
        <v>44623</v>
      </c>
      <c r="I44" s="97">
        <v>450</v>
      </c>
      <c r="J44" s="253" t="s">
        <v>2260</v>
      </c>
      <c r="K44" s="254"/>
    </row>
    <row r="45" spans="1:13" ht="15.75" x14ac:dyDescent="0.25">
      <c r="C45" s="102"/>
      <c r="H45" s="118">
        <v>44623</v>
      </c>
      <c r="I45" s="97">
        <v>82.19</v>
      </c>
      <c r="J45" s="253" t="s">
        <v>2261</v>
      </c>
      <c r="K45" s="254"/>
    </row>
    <row r="46" spans="1:13" ht="15.75" x14ac:dyDescent="0.25">
      <c r="C46" s="102"/>
      <c r="H46" s="118">
        <v>44627</v>
      </c>
      <c r="I46" s="109">
        <v>132.84</v>
      </c>
      <c r="J46" s="253" t="s">
        <v>645</v>
      </c>
      <c r="K46" s="254"/>
    </row>
    <row r="47" spans="1:13" ht="15.75" x14ac:dyDescent="0.25">
      <c r="C47" s="102"/>
      <c r="H47" s="118">
        <v>44630</v>
      </c>
      <c r="I47" s="53">
        <v>1998</v>
      </c>
      <c r="J47" s="253" t="s">
        <v>2068</v>
      </c>
      <c r="K47" s="254"/>
    </row>
    <row r="48" spans="1:13" ht="15.75" x14ac:dyDescent="0.25">
      <c r="C48" s="102"/>
      <c r="H48" s="118">
        <v>44630</v>
      </c>
      <c r="I48" s="53">
        <v>1500</v>
      </c>
      <c r="J48" s="253" t="s">
        <v>2285</v>
      </c>
      <c r="K48" s="254"/>
    </row>
    <row r="49" spans="3:11" ht="15.75" x14ac:dyDescent="0.25">
      <c r="C49" s="102"/>
      <c r="H49" s="118">
        <v>44630</v>
      </c>
      <c r="I49" s="53">
        <v>5000</v>
      </c>
      <c r="J49" s="253" t="s">
        <v>2069</v>
      </c>
      <c r="K49" s="254"/>
    </row>
    <row r="50" spans="3:11" ht="15.75" x14ac:dyDescent="0.25">
      <c r="C50" s="102"/>
      <c r="H50" s="118">
        <v>44630</v>
      </c>
      <c r="I50" s="109">
        <v>500</v>
      </c>
      <c r="J50" s="255" t="s">
        <v>2298</v>
      </c>
      <c r="K50" s="256"/>
    </row>
    <row r="51" spans="3:11" ht="15.75" x14ac:dyDescent="0.25">
      <c r="C51" s="102"/>
      <c r="H51" s="118"/>
      <c r="I51" s="53">
        <v>30000</v>
      </c>
      <c r="J51" s="255" t="s">
        <v>2300</v>
      </c>
      <c r="K51" s="256"/>
    </row>
    <row r="52" spans="3:11" ht="15.75" x14ac:dyDescent="0.25">
      <c r="C52" s="102"/>
      <c r="H52" s="118"/>
      <c r="I52" s="120"/>
      <c r="J52" s="255"/>
      <c r="K52" s="256"/>
    </row>
    <row r="53" spans="3:11" ht="15.75" x14ac:dyDescent="0.25">
      <c r="C53" s="102"/>
      <c r="H53" s="118"/>
      <c r="I53" s="53"/>
      <c r="J53" s="257"/>
      <c r="K53" s="257"/>
    </row>
    <row r="54" spans="3:11" ht="15.75" x14ac:dyDescent="0.25">
      <c r="C54" s="102"/>
      <c r="H54" s="118"/>
      <c r="I54" s="53"/>
      <c r="J54" s="255"/>
      <c r="K54" s="256"/>
    </row>
    <row r="55" spans="3:11" ht="15.75" x14ac:dyDescent="0.25">
      <c r="C55" s="102"/>
      <c r="G55" s="112"/>
      <c r="H55" s="118"/>
      <c r="I55" s="53"/>
      <c r="J55" s="253"/>
      <c r="K55" s="254"/>
    </row>
    <row r="56" spans="3:11" ht="15.75" x14ac:dyDescent="0.25">
      <c r="C56" s="102"/>
      <c r="H56" s="118"/>
      <c r="I56" s="53"/>
      <c r="J56" s="253"/>
      <c r="K56" s="254"/>
    </row>
    <row r="57" spans="3:11" ht="15.75" x14ac:dyDescent="0.25">
      <c r="C57" s="102"/>
      <c r="H57" s="118"/>
      <c r="I57" s="53"/>
      <c r="J57" s="253"/>
      <c r="K57" s="254"/>
    </row>
    <row r="58" spans="3:11" ht="15.75" x14ac:dyDescent="0.25">
      <c r="H58" s="118"/>
      <c r="I58" s="53"/>
      <c r="J58" s="253"/>
      <c r="K58" s="254"/>
    </row>
    <row r="59" spans="3:11" ht="15.75" x14ac:dyDescent="0.25">
      <c r="H59" s="118"/>
      <c r="I59" s="53"/>
      <c r="J59" s="253"/>
      <c r="K59" s="254"/>
    </row>
    <row r="60" spans="3:11" ht="15.75" x14ac:dyDescent="0.25">
      <c r="H60" s="118"/>
      <c r="I60" s="53"/>
      <c r="J60" s="253"/>
      <c r="K60" s="254"/>
    </row>
    <row r="61" spans="3:11" ht="15.75" x14ac:dyDescent="0.25">
      <c r="H61" s="118"/>
      <c r="I61" s="53"/>
      <c r="J61" s="253"/>
      <c r="K61" s="254"/>
    </row>
    <row r="62" spans="3:11" ht="15.75" x14ac:dyDescent="0.25">
      <c r="H62" s="118"/>
      <c r="I62" s="53"/>
      <c r="J62" s="253"/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x14ac:dyDescent="0.25">
      <c r="I70" s="57">
        <f>SUM(I36:I69)</f>
        <v>44768.76</v>
      </c>
    </row>
  </sheetData>
  <mergeCells count="80">
    <mergeCell ref="J8:K8"/>
    <mergeCell ref="J9:K9"/>
    <mergeCell ref="J10:K10"/>
    <mergeCell ref="J11:K11"/>
    <mergeCell ref="A1:B1"/>
    <mergeCell ref="D1:F1"/>
    <mergeCell ref="H1:M1"/>
    <mergeCell ref="A2:B2"/>
    <mergeCell ref="D2:F2"/>
    <mergeCell ref="J2:K2"/>
    <mergeCell ref="J3:K3"/>
    <mergeCell ref="J4:K4"/>
    <mergeCell ref="J5:K5"/>
    <mergeCell ref="J6:K6"/>
    <mergeCell ref="J7:K7"/>
    <mergeCell ref="D12:F12"/>
    <mergeCell ref="J12:K12"/>
    <mergeCell ref="J23:K23"/>
    <mergeCell ref="J14:K14"/>
    <mergeCell ref="J15:K15"/>
    <mergeCell ref="J16:K16"/>
    <mergeCell ref="J20:K20"/>
    <mergeCell ref="J21:K21"/>
    <mergeCell ref="J22:K22"/>
    <mergeCell ref="J13:K13"/>
    <mergeCell ref="A17:B17"/>
    <mergeCell ref="D17:F17"/>
    <mergeCell ref="J17:K17"/>
    <mergeCell ref="J18:K18"/>
    <mergeCell ref="J19:K19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J35:K35"/>
    <mergeCell ref="L35:M35"/>
    <mergeCell ref="J36:K36"/>
    <mergeCell ref="J37:K37"/>
    <mergeCell ref="L38:M38"/>
    <mergeCell ref="J48:K48"/>
    <mergeCell ref="J38:K38"/>
    <mergeCell ref="J39:K39"/>
    <mergeCell ref="J40:K40"/>
    <mergeCell ref="J41:K41"/>
    <mergeCell ref="J42:K42"/>
    <mergeCell ref="J43:K43"/>
    <mergeCell ref="J44:K44"/>
    <mergeCell ref="J45:K45"/>
    <mergeCell ref="J46:K46"/>
    <mergeCell ref="J47:K47"/>
    <mergeCell ref="J60:K60"/>
    <mergeCell ref="J49:K49"/>
    <mergeCell ref="J50:K50"/>
    <mergeCell ref="J51:K51"/>
    <mergeCell ref="J52:K52"/>
    <mergeCell ref="J53:K53"/>
    <mergeCell ref="J54:K54"/>
    <mergeCell ref="J55:K55"/>
    <mergeCell ref="J56:K56"/>
    <mergeCell ref="J57:K57"/>
    <mergeCell ref="J58:K58"/>
    <mergeCell ref="J59:K59"/>
    <mergeCell ref="J67:K67"/>
    <mergeCell ref="J68:K68"/>
    <mergeCell ref="J69:K69"/>
    <mergeCell ref="J61:K61"/>
    <mergeCell ref="J62:K62"/>
    <mergeCell ref="J63:K63"/>
    <mergeCell ref="J64:K64"/>
    <mergeCell ref="J65:K65"/>
    <mergeCell ref="J66:K6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Planilha73"/>
  <dimension ref="A1:M72"/>
  <sheetViews>
    <sheetView topLeftCell="C10" zoomScale="85" zoomScaleNormal="85" workbookViewId="0">
      <selection activeCell="L10" sqref="L10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22.7109375" customWidth="1"/>
    <col min="6" max="6" width="9.8554687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1381</v>
      </c>
      <c r="B1" s="184"/>
      <c r="C1" s="10"/>
      <c r="D1" s="229" t="s">
        <v>55</v>
      </c>
      <c r="E1" s="230"/>
      <c r="F1" s="231"/>
      <c r="H1" s="184" t="s">
        <v>2295</v>
      </c>
      <c r="I1" s="184"/>
      <c r="J1" s="184"/>
      <c r="K1" s="184"/>
      <c r="L1" s="184"/>
      <c r="M1" s="184"/>
    </row>
    <row r="2" spans="1:13" ht="19.5" thickBot="1" x14ac:dyDescent="0.35">
      <c r="A2" s="184" t="s">
        <v>2294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I27</f>
        <v>13956.29</v>
      </c>
      <c r="C3" s="11"/>
      <c r="D3" s="91" t="s">
        <v>1</v>
      </c>
      <c r="E3" s="91" t="s">
        <v>6</v>
      </c>
      <c r="F3" s="92" t="s">
        <v>13</v>
      </c>
      <c r="H3" s="118">
        <v>44630</v>
      </c>
      <c r="I3" s="120">
        <v>100</v>
      </c>
      <c r="J3" s="255"/>
      <c r="K3" s="256"/>
      <c r="L3" s="161" t="s">
        <v>2252</v>
      </c>
      <c r="M3" s="161" t="s">
        <v>267</v>
      </c>
    </row>
    <row r="4" spans="1:13" ht="15.75" x14ac:dyDescent="0.25">
      <c r="A4" s="2"/>
      <c r="B4" s="3"/>
      <c r="C4" s="11"/>
      <c r="D4" s="73"/>
      <c r="E4" s="53">
        <v>-5000</v>
      </c>
      <c r="F4" s="74" t="s">
        <v>2174</v>
      </c>
      <c r="G4" s="113"/>
      <c r="H4" s="118">
        <v>44632</v>
      </c>
      <c r="I4" s="97">
        <v>500</v>
      </c>
      <c r="J4" s="255"/>
      <c r="K4" s="256"/>
      <c r="L4" s="161" t="s">
        <v>2187</v>
      </c>
      <c r="M4" s="161" t="s">
        <v>267</v>
      </c>
    </row>
    <row r="5" spans="1:13" ht="15.75" x14ac:dyDescent="0.25">
      <c r="A5" s="2" t="s">
        <v>4</v>
      </c>
      <c r="B5" s="3">
        <f>SUM(I36:I71)</f>
        <v>65862.679999999993</v>
      </c>
      <c r="C5" s="11"/>
      <c r="D5" s="76"/>
      <c r="E5" s="53">
        <v>-500</v>
      </c>
      <c r="F5" s="86" t="s">
        <v>2329</v>
      </c>
      <c r="H5" s="118">
        <v>44637</v>
      </c>
      <c r="I5" s="97">
        <v>100</v>
      </c>
      <c r="J5" s="255"/>
      <c r="K5" s="256"/>
      <c r="L5" s="161" t="s">
        <v>2301</v>
      </c>
      <c r="M5" s="161" t="s">
        <v>267</v>
      </c>
    </row>
    <row r="6" spans="1:13" ht="15.75" x14ac:dyDescent="0.25">
      <c r="A6" s="2"/>
      <c r="B6" s="3"/>
      <c r="C6" s="11"/>
      <c r="D6" s="138">
        <v>44368</v>
      </c>
      <c r="E6" s="137">
        <v>90.48</v>
      </c>
      <c r="F6" s="74" t="s">
        <v>2287</v>
      </c>
      <c r="H6" s="118">
        <v>44642</v>
      </c>
      <c r="I6" s="97">
        <v>500</v>
      </c>
      <c r="J6" s="255" t="s">
        <v>1801</v>
      </c>
      <c r="K6" s="256"/>
      <c r="L6" s="161" t="s">
        <v>2304</v>
      </c>
      <c r="M6" s="161" t="s">
        <v>268</v>
      </c>
    </row>
    <row r="7" spans="1:13" ht="15.75" x14ac:dyDescent="0.25">
      <c r="A7" s="12" t="s">
        <v>5</v>
      </c>
      <c r="B7" s="25">
        <f>B3+B4-B5</f>
        <v>-51906.389999999992</v>
      </c>
      <c r="C7" s="11"/>
      <c r="D7" s="73">
        <v>44456</v>
      </c>
      <c r="E7" s="109">
        <v>393.21</v>
      </c>
      <c r="F7" s="74" t="s">
        <v>2286</v>
      </c>
      <c r="H7" s="118">
        <v>44643</v>
      </c>
      <c r="I7" s="97">
        <v>650</v>
      </c>
      <c r="J7" s="255" t="s">
        <v>2307</v>
      </c>
      <c r="K7" s="256"/>
      <c r="L7" s="161" t="s">
        <v>2306</v>
      </c>
      <c r="M7" s="161" t="s">
        <v>268</v>
      </c>
    </row>
    <row r="8" spans="1:13" ht="15.75" x14ac:dyDescent="0.25">
      <c r="A8" s="2"/>
      <c r="B8" s="3"/>
      <c r="C8" s="11"/>
      <c r="D8" s="138"/>
      <c r="E8" s="167"/>
      <c r="F8" s="74"/>
      <c r="H8" s="118">
        <v>44644</v>
      </c>
      <c r="I8" s="58">
        <v>400</v>
      </c>
      <c r="J8" s="255"/>
      <c r="K8" s="256"/>
      <c r="L8" s="161" t="s">
        <v>2097</v>
      </c>
      <c r="M8" s="161" t="s">
        <v>267</v>
      </c>
    </row>
    <row r="9" spans="1:13" ht="15.75" x14ac:dyDescent="0.25">
      <c r="A9" s="2"/>
      <c r="B9" s="3"/>
      <c r="C9" s="11"/>
      <c r="D9" s="138"/>
      <c r="E9" s="53"/>
      <c r="F9" s="88"/>
      <c r="G9" s="42"/>
      <c r="H9" s="118">
        <v>44650</v>
      </c>
      <c r="I9" s="97">
        <v>1000</v>
      </c>
      <c r="J9" s="255"/>
      <c r="K9" s="256"/>
      <c r="L9" s="161" t="s">
        <v>2310</v>
      </c>
      <c r="M9" s="161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118">
        <v>44657</v>
      </c>
      <c r="I10" s="97">
        <v>1500</v>
      </c>
      <c r="J10" s="255"/>
      <c r="K10" s="256"/>
      <c r="L10" s="161" t="s">
        <v>2314</v>
      </c>
      <c r="M10" s="161" t="s">
        <v>267</v>
      </c>
    </row>
    <row r="11" spans="1:13" ht="16.5" thickBot="1" x14ac:dyDescent="0.3">
      <c r="A11" s="2" t="s">
        <v>59</v>
      </c>
      <c r="B11" s="3">
        <f>(B7-B9)/2</f>
        <v>-25953.194999999996</v>
      </c>
      <c r="C11" s="11"/>
      <c r="D11" s="80" t="s">
        <v>23</v>
      </c>
      <c r="E11" s="81">
        <f>SUM(E4:E10)</f>
        <v>-5016.3100000000004</v>
      </c>
      <c r="F11" s="82"/>
      <c r="G11" s="57"/>
      <c r="H11" s="118">
        <v>44657</v>
      </c>
      <c r="I11" s="120">
        <v>500</v>
      </c>
      <c r="J11" s="255" t="s">
        <v>2282</v>
      </c>
      <c r="K11" s="256"/>
      <c r="L11" s="161" t="s">
        <v>2143</v>
      </c>
      <c r="M11" s="161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G12" s="57"/>
      <c r="H12" s="118">
        <v>44657</v>
      </c>
      <c r="I12" s="97">
        <v>500</v>
      </c>
      <c r="J12" s="255"/>
      <c r="K12" s="256"/>
      <c r="L12" s="162" t="s">
        <v>2195</v>
      </c>
      <c r="M12" s="161" t="s">
        <v>267</v>
      </c>
    </row>
    <row r="13" spans="1:13" ht="15.75" x14ac:dyDescent="0.25">
      <c r="A13" s="2"/>
      <c r="B13" s="3"/>
      <c r="C13" s="11"/>
      <c r="D13" s="76">
        <v>44638</v>
      </c>
      <c r="E13" s="149">
        <v>-1550</v>
      </c>
      <c r="F13" s="150" t="s">
        <v>464</v>
      </c>
      <c r="H13" s="118">
        <v>44645</v>
      </c>
      <c r="I13" s="120">
        <v>2250</v>
      </c>
      <c r="J13" s="255" t="s">
        <v>875</v>
      </c>
      <c r="K13" s="256"/>
      <c r="L13" s="161" t="s">
        <v>2321</v>
      </c>
      <c r="M13" s="161" t="s">
        <v>268</v>
      </c>
    </row>
    <row r="14" spans="1:13" ht="15.75" x14ac:dyDescent="0.25">
      <c r="A14" s="2"/>
      <c r="B14" s="3"/>
      <c r="C14" s="11"/>
      <c r="D14" s="73"/>
      <c r="E14" s="120">
        <f>I11+I13+I14+I15+I16+I17+I18</f>
        <v>8706.2900000000009</v>
      </c>
      <c r="F14" s="74"/>
      <c r="H14" s="118">
        <v>44644</v>
      </c>
      <c r="I14" s="120">
        <v>800</v>
      </c>
      <c r="J14" s="255" t="s">
        <v>875</v>
      </c>
      <c r="K14" s="256"/>
      <c r="L14" s="162" t="s">
        <v>2322</v>
      </c>
      <c r="M14" s="161" t="s">
        <v>268</v>
      </c>
    </row>
    <row r="15" spans="1:13" ht="16.5" thickBot="1" x14ac:dyDescent="0.3">
      <c r="A15" s="2"/>
      <c r="B15" s="3"/>
      <c r="C15" s="11"/>
      <c r="D15" s="76"/>
      <c r="E15" s="53">
        <v>-52932.84</v>
      </c>
      <c r="F15" s="151"/>
      <c r="H15" s="118">
        <v>44631</v>
      </c>
      <c r="I15" s="120">
        <v>1500</v>
      </c>
      <c r="J15" s="255" t="s">
        <v>875</v>
      </c>
      <c r="K15" s="256"/>
      <c r="L15" s="161" t="s">
        <v>2138</v>
      </c>
      <c r="M15" s="161" t="s">
        <v>268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-45776.549999999996</v>
      </c>
      <c r="F16" s="82"/>
      <c r="H16" s="118">
        <v>44631</v>
      </c>
      <c r="I16" s="120">
        <v>1821</v>
      </c>
      <c r="J16" s="255" t="s">
        <v>875</v>
      </c>
      <c r="K16" s="256"/>
      <c r="L16" s="161" t="s">
        <v>1926</v>
      </c>
      <c r="M16" s="161" t="s">
        <v>268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118">
        <v>44637</v>
      </c>
      <c r="I17" s="120">
        <v>589</v>
      </c>
      <c r="J17" s="255" t="s">
        <v>875</v>
      </c>
      <c r="K17" s="256"/>
      <c r="L17" s="162" t="s">
        <v>831</v>
      </c>
      <c r="M17" s="161" t="s">
        <v>268</v>
      </c>
    </row>
    <row r="18" spans="1:13" ht="15.75" x14ac:dyDescent="0.25">
      <c r="A18" s="2"/>
      <c r="B18" s="3"/>
      <c r="C18" s="1"/>
      <c r="D18" s="76">
        <v>44630</v>
      </c>
      <c r="E18" s="120">
        <v>-56</v>
      </c>
      <c r="F18" s="150" t="s">
        <v>1997</v>
      </c>
      <c r="G18" s="121"/>
      <c r="H18" s="118">
        <v>44638</v>
      </c>
      <c r="I18" s="120">
        <v>1246.29</v>
      </c>
      <c r="J18" s="255" t="s">
        <v>2323</v>
      </c>
      <c r="K18" s="256"/>
      <c r="L18" s="161" t="s">
        <v>2324</v>
      </c>
      <c r="M18" s="161" t="s">
        <v>268</v>
      </c>
    </row>
    <row r="19" spans="1:13" ht="15.75" x14ac:dyDescent="0.25">
      <c r="A19" s="2" t="s">
        <v>57</v>
      </c>
      <c r="B19" s="3">
        <f>B11-E11-B53</f>
        <v>-20936.884999999995</v>
      </c>
      <c r="C19" s="1"/>
      <c r="D19" s="76"/>
      <c r="E19" s="120">
        <v>500</v>
      </c>
      <c r="F19" s="151" t="s">
        <v>2305</v>
      </c>
      <c r="H19" s="118"/>
      <c r="I19" s="120"/>
      <c r="J19" s="255"/>
      <c r="K19" s="256"/>
      <c r="L19" s="161"/>
      <c r="M19" s="161"/>
    </row>
    <row r="20" spans="1:13" ht="15.75" x14ac:dyDescent="0.25">
      <c r="A20" s="2" t="s">
        <v>12</v>
      </c>
      <c r="B20" s="3" t="e">
        <f ca="1">B11+G4+M39-E16</f>
        <v>#NAME?</v>
      </c>
      <c r="C20" s="11"/>
      <c r="D20" s="76"/>
      <c r="E20" s="120">
        <v>650</v>
      </c>
      <c r="F20" s="8" t="s">
        <v>2308</v>
      </c>
      <c r="H20" s="118"/>
      <c r="I20" s="120"/>
      <c r="J20" s="255"/>
      <c r="K20" s="256"/>
      <c r="L20" s="161"/>
      <c r="M20" s="161"/>
    </row>
    <row r="21" spans="1:13" ht="15.75" x14ac:dyDescent="0.25">
      <c r="A21" s="2"/>
      <c r="B21" s="3"/>
      <c r="C21" s="1"/>
      <c r="D21" s="76"/>
      <c r="E21" s="120">
        <v>406</v>
      </c>
      <c r="F21" s="151" t="s">
        <v>2313</v>
      </c>
      <c r="H21" s="118"/>
      <c r="I21" s="120"/>
      <c r="J21" s="255"/>
      <c r="K21" s="256"/>
      <c r="L21" s="161"/>
      <c r="M21" s="161"/>
    </row>
    <row r="22" spans="1:13" ht="15.75" x14ac:dyDescent="0.25">
      <c r="A22" s="2"/>
      <c r="B22" s="2"/>
      <c r="C22" s="1"/>
      <c r="D22" s="76"/>
      <c r="E22" s="120"/>
      <c r="F22" s="151"/>
      <c r="H22" s="118"/>
      <c r="I22" s="120"/>
      <c r="J22" s="255"/>
      <c r="K22" s="256"/>
      <c r="L22" s="161"/>
      <c r="M22" s="161"/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1500</v>
      </c>
      <c r="F23" s="147"/>
      <c r="G23" s="1"/>
      <c r="H23" s="118"/>
      <c r="I23" s="120"/>
      <c r="J23" s="255"/>
      <c r="K23" s="256"/>
      <c r="L23" s="161"/>
      <c r="M23" s="161"/>
    </row>
    <row r="24" spans="1:13" ht="16.5" thickBot="1" x14ac:dyDescent="0.3">
      <c r="A24" s="18"/>
      <c r="B24" s="18"/>
      <c r="C24" s="18"/>
      <c r="G24" s="77"/>
      <c r="H24" s="6"/>
      <c r="I24" s="120"/>
      <c r="J24" s="182"/>
      <c r="K24" s="183"/>
      <c r="L24" s="8"/>
      <c r="M24" s="8"/>
    </row>
    <row r="25" spans="1:13" ht="16.5" thickBot="1" x14ac:dyDescent="0.3">
      <c r="A25" s="258" t="s">
        <v>1744</v>
      </c>
      <c r="B25" s="259"/>
      <c r="C25" s="141">
        <v>44630</v>
      </c>
      <c r="D25" s="65" t="s">
        <v>1748</v>
      </c>
      <c r="E25" s="66" t="s">
        <v>1749</v>
      </c>
      <c r="G25" s="1"/>
      <c r="H25" s="6"/>
      <c r="I25" s="120"/>
      <c r="J25" s="182"/>
      <c r="K25" s="183"/>
      <c r="L25" s="8"/>
      <c r="M25" s="8"/>
    </row>
    <row r="26" spans="1:13" ht="15.75" x14ac:dyDescent="0.25">
      <c r="A26" s="59" t="s">
        <v>1745</v>
      </c>
      <c r="B26" s="93"/>
      <c r="C26" s="94">
        <v>2228.2199999999998</v>
      </c>
      <c r="D26" s="95" t="e">
        <f ca="1">gfSumIfColor(I3:I26,gfCelColorName(B26))</f>
        <v>#NAME?</v>
      </c>
      <c r="E26" s="96" t="e">
        <f ca="1">C26+D26</f>
        <v>#NAME?</v>
      </c>
      <c r="G26" s="1"/>
      <c r="H26" s="6"/>
      <c r="I26" s="7"/>
      <c r="J26" s="182"/>
      <c r="K26" s="183"/>
      <c r="L26" s="8"/>
      <c r="M26" s="8"/>
    </row>
    <row r="27" spans="1:13" ht="19.5" thickBot="1" x14ac:dyDescent="0.35">
      <c r="A27" s="60" t="s">
        <v>1746</v>
      </c>
      <c r="B27" s="61"/>
      <c r="C27" s="61">
        <v>484</v>
      </c>
      <c r="D27" s="69" t="e">
        <f ca="1">gfSumIfColor(I3:I26,gfCelColorName(B27))</f>
        <v>#NAME?</v>
      </c>
      <c r="E27" s="67" t="e">
        <f ca="1">C27+D27</f>
        <v>#NAME?</v>
      </c>
      <c r="G27" s="9"/>
      <c r="H27" s="6" t="s">
        <v>23</v>
      </c>
      <c r="I27" s="193">
        <f>SUM(I3:I26)</f>
        <v>13956.29</v>
      </c>
      <c r="J27" s="194"/>
      <c r="K27" s="194"/>
      <c r="L27" s="194"/>
      <c r="M27" s="195"/>
    </row>
    <row r="28" spans="1:13" ht="16.5" thickBot="1" x14ac:dyDescent="0.3">
      <c r="A28" s="17"/>
      <c r="B28" s="17"/>
      <c r="C28" s="72">
        <f>C26+C27</f>
        <v>2712.22</v>
      </c>
      <c r="D28" s="71" t="e">
        <f ca="1">D26+D27</f>
        <v>#NAME?</v>
      </c>
      <c r="E28" s="68" t="e">
        <f ca="1">E26+E27</f>
        <v>#NAME?</v>
      </c>
      <c r="J28" s="1"/>
      <c r="K28" s="1"/>
      <c r="L28" s="196"/>
      <c r="M28" s="196"/>
    </row>
    <row r="29" spans="1:13" x14ac:dyDescent="0.25">
      <c r="C29" s="164"/>
      <c r="J29" s="180" t="s">
        <v>69</v>
      </c>
      <c r="K29" s="180"/>
      <c r="L29" s="180" t="s">
        <v>69</v>
      </c>
      <c r="M29" s="180"/>
    </row>
    <row r="30" spans="1:13" ht="15" customHeight="1" x14ac:dyDescent="0.25">
      <c r="A30" s="57"/>
      <c r="J30" s="180" t="s">
        <v>65</v>
      </c>
      <c r="K30" s="180"/>
      <c r="L30" s="180" t="s">
        <v>67</v>
      </c>
      <c r="M30" s="180"/>
    </row>
    <row r="31" spans="1:13" x14ac:dyDescent="0.25">
      <c r="A31" s="57"/>
      <c r="H31" s="57"/>
      <c r="L31" s="180"/>
      <c r="M31" s="180"/>
    </row>
    <row r="32" spans="1:13" x14ac:dyDescent="0.25">
      <c r="A32" s="170" t="e">
        <f ca="1">B20-1148</f>
        <v>#NAME?</v>
      </c>
      <c r="L32" s="18"/>
      <c r="M32" s="18"/>
    </row>
    <row r="33" spans="1:13" x14ac:dyDescent="0.25">
      <c r="A33" s="170"/>
      <c r="B33">
        <v>20337.560000000001</v>
      </c>
      <c r="L33" s="18"/>
      <c r="M33" s="18"/>
    </row>
    <row r="34" spans="1:13" ht="18.75" x14ac:dyDescent="0.3">
      <c r="A34" s="57"/>
      <c r="B34" s="158"/>
      <c r="C34" s="57"/>
      <c r="H34" s="184" t="s">
        <v>2293</v>
      </c>
      <c r="I34" s="184"/>
      <c r="J34" s="184"/>
      <c r="K34" s="184"/>
      <c r="L34" s="180"/>
      <c r="M34" s="180"/>
    </row>
    <row r="35" spans="1:13" ht="15.75" x14ac:dyDescent="0.25">
      <c r="A35" s="57" t="e">
        <f ca="1">24300-A32</f>
        <v>#NAME?</v>
      </c>
      <c r="B35" s="102"/>
      <c r="C35" t="s">
        <v>2092</v>
      </c>
      <c r="D35" s="42"/>
      <c r="E35" s="102"/>
      <c r="F35" t="s">
        <v>2093</v>
      </c>
      <c r="H35" s="2" t="s">
        <v>1</v>
      </c>
      <c r="I35" s="2" t="s">
        <v>6</v>
      </c>
      <c r="J35" s="182" t="s">
        <v>13</v>
      </c>
      <c r="K35" s="183"/>
      <c r="L35" s="180"/>
      <c r="M35" s="180"/>
    </row>
    <row r="36" spans="1:13" ht="15.75" x14ac:dyDescent="0.25">
      <c r="B36" s="57"/>
      <c r="C36" s="57">
        <f>'Fevereiro-22'!C36</f>
        <v>90000</v>
      </c>
      <c r="D36" s="42"/>
      <c r="E36" s="102"/>
      <c r="F36" s="57">
        <f>I42</f>
        <v>57.59</v>
      </c>
      <c r="H36" s="118"/>
      <c r="I36" s="58">
        <v>2100</v>
      </c>
      <c r="J36" s="255" t="s">
        <v>173</v>
      </c>
      <c r="K36" s="256"/>
      <c r="L36" s="18"/>
      <c r="M36" s="18"/>
    </row>
    <row r="37" spans="1:13" ht="15.75" x14ac:dyDescent="0.25">
      <c r="C37" s="57"/>
      <c r="D37" s="57"/>
      <c r="E37" s="102"/>
      <c r="F37" s="57"/>
      <c r="H37" s="118"/>
      <c r="I37" s="53">
        <f>1500-E23</f>
        <v>0</v>
      </c>
      <c r="J37" s="253" t="s">
        <v>1719</v>
      </c>
      <c r="K37" s="254"/>
      <c r="L37" s="18"/>
      <c r="M37" s="18"/>
    </row>
    <row r="38" spans="1:13" ht="15.75" x14ac:dyDescent="0.25">
      <c r="A38" s="57"/>
      <c r="B38" s="102"/>
      <c r="D38" s="42"/>
      <c r="E38" s="102"/>
      <c r="H38" s="118"/>
      <c r="I38" s="99">
        <v>81.900000000000006</v>
      </c>
      <c r="J38" s="255" t="s">
        <v>1711</v>
      </c>
      <c r="K38" s="256"/>
      <c r="L38" s="180"/>
      <c r="M38" s="180"/>
    </row>
    <row r="39" spans="1:13" ht="15.75" x14ac:dyDescent="0.25">
      <c r="B39" s="102"/>
      <c r="D39" s="42"/>
      <c r="E39" s="102"/>
      <c r="H39" s="118"/>
      <c r="I39" s="53"/>
      <c r="J39" s="253"/>
      <c r="K39" s="254"/>
      <c r="L39" s="100" t="s">
        <v>1754</v>
      </c>
      <c r="M39" s="102" t="e">
        <f ca="1">gfSumIfColor(I36:I68,gfCelColorName(L39))</f>
        <v>#NAME?</v>
      </c>
    </row>
    <row r="40" spans="1:13" ht="15.75" x14ac:dyDescent="0.25">
      <c r="B40" s="102"/>
      <c r="D40" s="42"/>
      <c r="E40" s="102"/>
      <c r="G40" s="112"/>
      <c r="H40" s="118">
        <v>44376</v>
      </c>
      <c r="I40" s="109">
        <v>739.8</v>
      </c>
      <c r="J40" s="257" t="s">
        <v>2288</v>
      </c>
      <c r="K40" s="257"/>
      <c r="L40" s="110" t="s">
        <v>1759</v>
      </c>
      <c r="M40" s="102" t="e">
        <f ca="1">gfSumIfColor(I36:I68,gfCelColorName(L40))</f>
        <v>#NAME?</v>
      </c>
    </row>
    <row r="41" spans="1:13" ht="15.75" x14ac:dyDescent="0.25">
      <c r="B41" s="102"/>
      <c r="D41" s="102"/>
      <c r="E41" s="102"/>
      <c r="H41" s="118">
        <v>44376</v>
      </c>
      <c r="I41" s="99">
        <v>169</v>
      </c>
      <c r="J41" s="253" t="s">
        <v>2289</v>
      </c>
      <c r="K41" s="254"/>
      <c r="L41" s="111" t="s">
        <v>1760</v>
      </c>
      <c r="M41" s="113" t="e">
        <f ca="1">gfSumIfColor(I36:I68,gfCelColorName(L41))</f>
        <v>#NAME?</v>
      </c>
    </row>
    <row r="42" spans="1:13" ht="15.75" x14ac:dyDescent="0.25">
      <c r="B42" s="57"/>
      <c r="H42" s="118">
        <v>44400</v>
      </c>
      <c r="I42" s="109">
        <v>57.59</v>
      </c>
      <c r="J42" s="255" t="s">
        <v>2290</v>
      </c>
      <c r="K42" s="256"/>
    </row>
    <row r="43" spans="1:13" ht="15.75" x14ac:dyDescent="0.25">
      <c r="B43" s="57"/>
      <c r="C43" s="102"/>
      <c r="H43" s="118">
        <v>44407</v>
      </c>
      <c r="I43" s="99">
        <v>263.3</v>
      </c>
      <c r="J43" s="253" t="s">
        <v>2291</v>
      </c>
      <c r="K43" s="254"/>
    </row>
    <row r="44" spans="1:13" ht="15.75" x14ac:dyDescent="0.25">
      <c r="C44" s="102"/>
      <c r="E44" s="57"/>
      <c r="H44" s="118">
        <v>44623</v>
      </c>
      <c r="I44" s="97">
        <v>82.19</v>
      </c>
      <c r="J44" s="253" t="s">
        <v>2292</v>
      </c>
      <c r="K44" s="254"/>
    </row>
    <row r="45" spans="1:13" ht="15.75" x14ac:dyDescent="0.25">
      <c r="C45" s="102"/>
      <c r="H45" s="118">
        <v>44635</v>
      </c>
      <c r="I45" s="109">
        <v>39.5</v>
      </c>
      <c r="J45" s="253" t="s">
        <v>1888</v>
      </c>
      <c r="K45" s="254"/>
    </row>
    <row r="46" spans="1:13" ht="15.75" x14ac:dyDescent="0.25">
      <c r="C46" s="102"/>
      <c r="H46" s="118">
        <v>44636</v>
      </c>
      <c r="I46" s="97">
        <v>39.5</v>
      </c>
      <c r="J46" s="253" t="s">
        <v>1888</v>
      </c>
      <c r="K46" s="254"/>
    </row>
    <row r="47" spans="1:13" ht="15.75" x14ac:dyDescent="0.25">
      <c r="C47" s="102"/>
      <c r="H47" s="118">
        <v>44637</v>
      </c>
      <c r="I47" s="97">
        <v>40.369999999999997</v>
      </c>
      <c r="J47" s="253" t="s">
        <v>2302</v>
      </c>
      <c r="K47" s="254"/>
    </row>
    <row r="48" spans="1:13" ht="15.75" x14ac:dyDescent="0.25">
      <c r="C48" s="102"/>
      <c r="H48" s="118">
        <v>44637</v>
      </c>
      <c r="I48" s="109">
        <v>39.5</v>
      </c>
      <c r="J48" s="253" t="s">
        <v>1888</v>
      </c>
      <c r="K48" s="254"/>
    </row>
    <row r="49" spans="3:11" ht="15.75" x14ac:dyDescent="0.25">
      <c r="C49" s="102"/>
      <c r="H49" s="118">
        <v>44638</v>
      </c>
      <c r="I49" s="109">
        <v>56</v>
      </c>
      <c r="J49" s="253" t="s">
        <v>1888</v>
      </c>
      <c r="K49" s="254"/>
    </row>
    <row r="50" spans="3:11" ht="15.75" x14ac:dyDescent="0.25">
      <c r="C50" s="102"/>
      <c r="H50" s="118">
        <v>44641</v>
      </c>
      <c r="I50" s="109">
        <v>19.8</v>
      </c>
      <c r="J50" s="253" t="s">
        <v>2303</v>
      </c>
      <c r="K50" s="254"/>
    </row>
    <row r="51" spans="3:11" ht="15.75" x14ac:dyDescent="0.25">
      <c r="C51" s="102"/>
      <c r="H51" s="118">
        <v>44642</v>
      </c>
      <c r="I51" s="109">
        <v>18</v>
      </c>
      <c r="J51" s="253" t="s">
        <v>2309</v>
      </c>
      <c r="K51" s="254"/>
    </row>
    <row r="52" spans="3:11" ht="15.75" x14ac:dyDescent="0.25">
      <c r="C52" s="102"/>
      <c r="H52" s="118">
        <v>44643</v>
      </c>
      <c r="I52" s="109">
        <v>39.5</v>
      </c>
      <c r="J52" s="255" t="s">
        <v>1997</v>
      </c>
      <c r="K52" s="256"/>
    </row>
    <row r="53" spans="3:11" ht="15.75" x14ac:dyDescent="0.25">
      <c r="C53" s="102"/>
      <c r="H53" s="118">
        <v>44644</v>
      </c>
      <c r="I53" s="109">
        <v>21.8</v>
      </c>
      <c r="J53" s="255" t="s">
        <v>2302</v>
      </c>
      <c r="K53" s="256"/>
    </row>
    <row r="54" spans="3:11" ht="15.75" x14ac:dyDescent="0.25">
      <c r="C54" s="102"/>
      <c r="H54" s="118">
        <v>44644</v>
      </c>
      <c r="I54" s="97">
        <v>202.33</v>
      </c>
      <c r="J54" s="255" t="s">
        <v>888</v>
      </c>
      <c r="K54" s="256"/>
    </row>
    <row r="55" spans="3:11" ht="15.75" x14ac:dyDescent="0.25">
      <c r="C55" s="102"/>
      <c r="G55" s="112"/>
      <c r="H55" s="118">
        <v>44681</v>
      </c>
      <c r="I55" s="109">
        <v>56.5</v>
      </c>
      <c r="J55" s="257" t="s">
        <v>1997</v>
      </c>
      <c r="K55" s="257"/>
    </row>
    <row r="56" spans="3:11" ht="15.75" x14ac:dyDescent="0.25">
      <c r="C56" s="102"/>
      <c r="H56" s="118" t="s">
        <v>2312</v>
      </c>
      <c r="I56" s="109">
        <v>39.5</v>
      </c>
      <c r="J56" s="255" t="s">
        <v>1997</v>
      </c>
      <c r="K56" s="256"/>
    </row>
    <row r="57" spans="3:11" ht="15.75" x14ac:dyDescent="0.25">
      <c r="C57" s="102"/>
      <c r="H57" s="118">
        <v>44656</v>
      </c>
      <c r="I57" s="109">
        <v>135.26</v>
      </c>
      <c r="J57" s="253" t="s">
        <v>645</v>
      </c>
      <c r="K57" s="254"/>
    </row>
    <row r="58" spans="3:11" ht="15.75" x14ac:dyDescent="0.25">
      <c r="H58" s="118">
        <v>44652</v>
      </c>
      <c r="I58" s="109">
        <v>40.5</v>
      </c>
      <c r="J58" s="253" t="s">
        <v>1997</v>
      </c>
      <c r="K58" s="254"/>
    </row>
    <row r="59" spans="3:11" ht="15.75" x14ac:dyDescent="0.25">
      <c r="E59" s="57">
        <f>I59+I60</f>
        <v>3648</v>
      </c>
      <c r="H59" s="118">
        <v>44659</v>
      </c>
      <c r="I59" s="53">
        <v>1650</v>
      </c>
      <c r="J59" s="253" t="s">
        <v>2202</v>
      </c>
      <c r="K59" s="254"/>
    </row>
    <row r="60" spans="3:11" ht="15.75" x14ac:dyDescent="0.25">
      <c r="H60" s="118">
        <v>44659</v>
      </c>
      <c r="I60" s="53">
        <v>1998</v>
      </c>
      <c r="J60" s="253" t="s">
        <v>2201</v>
      </c>
      <c r="K60" s="254"/>
    </row>
    <row r="61" spans="3:11" ht="15.75" x14ac:dyDescent="0.25">
      <c r="H61" s="118">
        <v>44659</v>
      </c>
      <c r="I61" s="53">
        <v>52932.84</v>
      </c>
      <c r="J61" s="253" t="s">
        <v>2325</v>
      </c>
      <c r="K61" s="254"/>
    </row>
    <row r="62" spans="3:11" ht="15.75" x14ac:dyDescent="0.25">
      <c r="H62" s="118">
        <v>44659</v>
      </c>
      <c r="I62" s="53">
        <v>5000</v>
      </c>
      <c r="J62" s="253" t="s">
        <v>2174</v>
      </c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x14ac:dyDescent="0.25">
      <c r="I72" s="57">
        <f>SUM(I36:I71)</f>
        <v>65862.679999999993</v>
      </c>
    </row>
  </sheetData>
  <mergeCells count="82">
    <mergeCell ref="J69:K69"/>
    <mergeCell ref="J70:K70"/>
    <mergeCell ref="J71:K71"/>
    <mergeCell ref="J63:K63"/>
    <mergeCell ref="J64:K64"/>
    <mergeCell ref="J65:K65"/>
    <mergeCell ref="J66:K66"/>
    <mergeCell ref="J67:K67"/>
    <mergeCell ref="J68:K68"/>
    <mergeCell ref="J62:K62"/>
    <mergeCell ref="J51:K51"/>
    <mergeCell ref="J52:K52"/>
    <mergeCell ref="J53:K53"/>
    <mergeCell ref="J54:K54"/>
    <mergeCell ref="J55:K55"/>
    <mergeCell ref="J56:K56"/>
    <mergeCell ref="J57:K57"/>
    <mergeCell ref="J58:K58"/>
    <mergeCell ref="J59:K59"/>
    <mergeCell ref="J60:K60"/>
    <mergeCell ref="J61:K61"/>
    <mergeCell ref="J50:K50"/>
    <mergeCell ref="J39:K39"/>
    <mergeCell ref="J40:K40"/>
    <mergeCell ref="J41:K41"/>
    <mergeCell ref="J42:K42"/>
    <mergeCell ref="J43:K43"/>
    <mergeCell ref="J44:K44"/>
    <mergeCell ref="J45:K45"/>
    <mergeCell ref="J46:K46"/>
    <mergeCell ref="J47:K47"/>
    <mergeCell ref="J48:K48"/>
    <mergeCell ref="J49:K49"/>
    <mergeCell ref="J35:K35"/>
    <mergeCell ref="L35:M35"/>
    <mergeCell ref="J36:K36"/>
    <mergeCell ref="J37:K37"/>
    <mergeCell ref="J38:K38"/>
    <mergeCell ref="L38:M38"/>
    <mergeCell ref="H34:K34"/>
    <mergeCell ref="L34:M34"/>
    <mergeCell ref="J24:K24"/>
    <mergeCell ref="A25:B25"/>
    <mergeCell ref="J25:K25"/>
    <mergeCell ref="J26:K26"/>
    <mergeCell ref="I27:M27"/>
    <mergeCell ref="L28:M28"/>
    <mergeCell ref="J29:K29"/>
    <mergeCell ref="L29:M29"/>
    <mergeCell ref="J30:K30"/>
    <mergeCell ref="L30:M30"/>
    <mergeCell ref="L31:M31"/>
    <mergeCell ref="A17:B17"/>
    <mergeCell ref="D17:F17"/>
    <mergeCell ref="J17:K17"/>
    <mergeCell ref="J18:K18"/>
    <mergeCell ref="J19:K19"/>
    <mergeCell ref="D12:F12"/>
    <mergeCell ref="J12:K12"/>
    <mergeCell ref="J23:K23"/>
    <mergeCell ref="J14:K14"/>
    <mergeCell ref="J15:K15"/>
    <mergeCell ref="J16:K16"/>
    <mergeCell ref="J20:K20"/>
    <mergeCell ref="J21:K21"/>
    <mergeCell ref="J22:K22"/>
    <mergeCell ref="J13:K13"/>
    <mergeCell ref="J8:K8"/>
    <mergeCell ref="J9:K9"/>
    <mergeCell ref="J10:K10"/>
    <mergeCell ref="J11:K11"/>
    <mergeCell ref="A1:B1"/>
    <mergeCell ref="D1:F1"/>
    <mergeCell ref="H1:M1"/>
    <mergeCell ref="A2:B2"/>
    <mergeCell ref="D2:F2"/>
    <mergeCell ref="J2:K2"/>
    <mergeCell ref="J3:K3"/>
    <mergeCell ref="J4:K4"/>
    <mergeCell ref="J5:K5"/>
    <mergeCell ref="J6:K6"/>
    <mergeCell ref="J7:K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Planilha74"/>
  <dimension ref="A1:M72"/>
  <sheetViews>
    <sheetView topLeftCell="D16" zoomScale="85" zoomScaleNormal="85" workbookViewId="0">
      <selection activeCell="L11" sqref="L11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22.7109375" customWidth="1"/>
    <col min="6" max="6" width="9.85546875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1387</v>
      </c>
      <c r="B1" s="184"/>
      <c r="C1" s="10"/>
      <c r="D1" s="229" t="s">
        <v>55</v>
      </c>
      <c r="E1" s="230"/>
      <c r="F1" s="231"/>
      <c r="H1" s="184" t="s">
        <v>2316</v>
      </c>
      <c r="I1" s="184"/>
      <c r="J1" s="184"/>
      <c r="K1" s="184"/>
      <c r="L1" s="184"/>
      <c r="M1" s="184"/>
    </row>
    <row r="2" spans="1:13" ht="19.5" thickBot="1" x14ac:dyDescent="0.35">
      <c r="A2" s="184" t="s">
        <v>2315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5" t="s">
        <v>7</v>
      </c>
      <c r="K2" s="186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I30</f>
        <v>30073.8</v>
      </c>
      <c r="C3" s="11"/>
      <c r="D3" s="91" t="s">
        <v>1</v>
      </c>
      <c r="E3" s="91" t="s">
        <v>6</v>
      </c>
      <c r="F3" s="92" t="s">
        <v>13</v>
      </c>
      <c r="H3" s="118">
        <v>44659</v>
      </c>
      <c r="I3" s="171">
        <v>10000</v>
      </c>
      <c r="J3" s="255" t="s">
        <v>2331</v>
      </c>
      <c r="K3" s="256"/>
      <c r="L3" s="161" t="s">
        <v>2330</v>
      </c>
      <c r="M3" s="161" t="s">
        <v>268</v>
      </c>
    </row>
    <row r="4" spans="1:13" ht="15.75" x14ac:dyDescent="0.25">
      <c r="A4" s="2"/>
      <c r="B4" s="3"/>
      <c r="C4" s="11"/>
      <c r="D4" s="73">
        <v>44659</v>
      </c>
      <c r="E4" s="53">
        <v>300</v>
      </c>
      <c r="F4" s="74" t="s">
        <v>2328</v>
      </c>
      <c r="G4" s="113"/>
      <c r="H4" s="118">
        <v>44659</v>
      </c>
      <c r="I4" s="120">
        <v>2880</v>
      </c>
      <c r="J4" s="255" t="s">
        <v>875</v>
      </c>
      <c r="K4" s="256"/>
      <c r="L4" s="161" t="s">
        <v>2284</v>
      </c>
      <c r="M4" s="161" t="s">
        <v>268</v>
      </c>
    </row>
    <row r="5" spans="1:13" ht="15.75" x14ac:dyDescent="0.25">
      <c r="A5" s="2" t="s">
        <v>4</v>
      </c>
      <c r="B5" s="3">
        <f>SUM(I39:I71)</f>
        <v>16568.21</v>
      </c>
      <c r="C5" s="11"/>
      <c r="D5" s="76">
        <v>44678</v>
      </c>
      <c r="E5" s="53">
        <v>594.79</v>
      </c>
      <c r="F5" s="86" t="s">
        <v>2337</v>
      </c>
      <c r="H5" s="118">
        <v>44662</v>
      </c>
      <c r="I5" s="97">
        <v>500</v>
      </c>
      <c r="J5" s="255"/>
      <c r="K5" s="256"/>
      <c r="L5" s="161" t="s">
        <v>2314</v>
      </c>
      <c r="M5" s="161" t="s">
        <v>267</v>
      </c>
    </row>
    <row r="6" spans="1:13" ht="15.75" x14ac:dyDescent="0.25">
      <c r="A6" s="2"/>
      <c r="B6" s="3"/>
      <c r="C6" s="11"/>
      <c r="D6" s="138"/>
      <c r="E6" s="137"/>
      <c r="F6" s="74"/>
      <c r="H6" s="118">
        <v>44659</v>
      </c>
      <c r="I6" s="58">
        <v>100</v>
      </c>
      <c r="J6" s="255"/>
      <c r="K6" s="256"/>
      <c r="L6" s="161" t="s">
        <v>2255</v>
      </c>
      <c r="M6" s="161" t="s">
        <v>267</v>
      </c>
    </row>
    <row r="7" spans="1:13" ht="15.75" x14ac:dyDescent="0.25">
      <c r="A7" s="12" t="s">
        <v>5</v>
      </c>
      <c r="B7" s="25">
        <f>B3+B4-B5</f>
        <v>13505.59</v>
      </c>
      <c r="C7" s="11"/>
      <c r="D7" s="73">
        <v>44456</v>
      </c>
      <c r="E7" s="109">
        <v>393.21</v>
      </c>
      <c r="F7" s="74" t="s">
        <v>2317</v>
      </c>
      <c r="H7" s="118">
        <v>44662</v>
      </c>
      <c r="I7" s="97">
        <v>500</v>
      </c>
      <c r="J7" s="255"/>
      <c r="K7" s="256"/>
      <c r="L7" s="161" t="s">
        <v>2187</v>
      </c>
      <c r="M7" s="161" t="s">
        <v>267</v>
      </c>
    </row>
    <row r="8" spans="1:13" ht="15.75" x14ac:dyDescent="0.25">
      <c r="A8" s="2"/>
      <c r="B8" s="3"/>
      <c r="C8" s="11"/>
      <c r="D8" s="138"/>
      <c r="E8" s="167"/>
      <c r="F8" s="74"/>
      <c r="H8" s="118">
        <v>44664</v>
      </c>
      <c r="I8" s="97">
        <v>550</v>
      </c>
      <c r="J8" s="255"/>
      <c r="K8" s="256"/>
      <c r="L8" s="161" t="s">
        <v>2279</v>
      </c>
      <c r="M8" s="161" t="s">
        <v>267</v>
      </c>
    </row>
    <row r="9" spans="1:13" ht="15.75" x14ac:dyDescent="0.25">
      <c r="A9" s="2"/>
      <c r="B9" s="3"/>
      <c r="C9" s="11"/>
      <c r="D9" s="138"/>
      <c r="E9" s="53"/>
      <c r="F9" s="88"/>
      <c r="G9" s="42"/>
      <c r="H9" s="118">
        <v>44663</v>
      </c>
      <c r="I9" s="97">
        <v>960</v>
      </c>
      <c r="J9" s="255"/>
      <c r="K9" s="256"/>
      <c r="L9" s="161" t="s">
        <v>2310</v>
      </c>
      <c r="M9" s="161" t="s">
        <v>267</v>
      </c>
    </row>
    <row r="10" spans="1:13" ht="16.5" thickBot="1" x14ac:dyDescent="0.3">
      <c r="A10" s="2"/>
      <c r="B10" s="3"/>
      <c r="C10" s="11"/>
      <c r="D10" s="78"/>
      <c r="E10" s="79"/>
      <c r="F10" s="89"/>
      <c r="H10" s="118">
        <v>44665</v>
      </c>
      <c r="I10" s="168">
        <v>500</v>
      </c>
      <c r="J10" s="255"/>
      <c r="K10" s="256"/>
      <c r="L10" s="161" t="s">
        <v>2334</v>
      </c>
      <c r="M10" s="161" t="s">
        <v>267</v>
      </c>
    </row>
    <row r="11" spans="1:13" ht="16.5" thickBot="1" x14ac:dyDescent="0.3">
      <c r="A11" s="2" t="s">
        <v>59</v>
      </c>
      <c r="B11" s="3">
        <f>(B7-B9)/2</f>
        <v>6752.7950000000001</v>
      </c>
      <c r="C11" s="11"/>
      <c r="D11" s="80" t="s">
        <v>23</v>
      </c>
      <c r="E11" s="81">
        <f>SUM(E4:E10)</f>
        <v>1288</v>
      </c>
      <c r="F11" s="82"/>
      <c r="G11" s="57"/>
      <c r="H11" s="118">
        <v>44665</v>
      </c>
      <c r="I11" s="97">
        <v>375</v>
      </c>
      <c r="J11" s="255"/>
      <c r="K11" s="256"/>
      <c r="L11" s="161" t="s">
        <v>2335</v>
      </c>
      <c r="M11" s="161" t="s">
        <v>267</v>
      </c>
    </row>
    <row r="12" spans="1:13" ht="16.5" thickBot="1" x14ac:dyDescent="0.3">
      <c r="A12" s="2"/>
      <c r="B12" s="3"/>
      <c r="C12" s="11"/>
      <c r="D12" s="221" t="s">
        <v>12</v>
      </c>
      <c r="E12" s="222"/>
      <c r="F12" s="223"/>
      <c r="G12" s="57"/>
      <c r="H12" s="118">
        <v>44683</v>
      </c>
      <c r="I12" s="58">
        <v>500</v>
      </c>
      <c r="J12" s="255"/>
      <c r="K12" s="256"/>
      <c r="L12" s="161" t="s">
        <v>2097</v>
      </c>
      <c r="M12" s="161" t="s">
        <v>267</v>
      </c>
    </row>
    <row r="13" spans="1:13" ht="15.75" x14ac:dyDescent="0.25">
      <c r="A13" s="2"/>
      <c r="B13" s="3"/>
      <c r="C13" s="11"/>
      <c r="D13" s="76">
        <v>44659</v>
      </c>
      <c r="E13" s="149">
        <v>67.959999999999994</v>
      </c>
      <c r="F13" s="150" t="s">
        <v>2326</v>
      </c>
      <c r="H13" s="118">
        <v>44683</v>
      </c>
      <c r="I13" s="97">
        <v>1000</v>
      </c>
      <c r="J13" s="255"/>
      <c r="K13" s="256"/>
      <c r="L13" s="161" t="s">
        <v>2342</v>
      </c>
      <c r="M13" s="161" t="s">
        <v>267</v>
      </c>
    </row>
    <row r="14" spans="1:13" ht="15.75" x14ac:dyDescent="0.25">
      <c r="A14" s="2"/>
      <c r="B14" s="3"/>
      <c r="C14" s="11"/>
      <c r="D14" s="73"/>
      <c r="E14" s="120">
        <f>I15+I16+I17+I18+I19+I10+I4+I27+I28</f>
        <v>13588.8</v>
      </c>
      <c r="F14" s="74"/>
      <c r="H14" s="118">
        <v>44684</v>
      </c>
      <c r="I14" s="97">
        <v>100</v>
      </c>
      <c r="J14" s="255"/>
      <c r="K14" s="256"/>
      <c r="L14" s="162" t="s">
        <v>2343</v>
      </c>
      <c r="M14" s="161" t="s">
        <v>268</v>
      </c>
    </row>
    <row r="15" spans="1:13" ht="16.5" thickBot="1" x14ac:dyDescent="0.3">
      <c r="A15" s="2"/>
      <c r="B15" s="3"/>
      <c r="C15" s="11"/>
      <c r="D15" s="76"/>
      <c r="E15" s="120">
        <v>-600</v>
      </c>
      <c r="F15" s="151"/>
      <c r="H15" s="118">
        <v>44683</v>
      </c>
      <c r="I15" s="120">
        <v>2520.8000000000002</v>
      </c>
      <c r="J15" s="255" t="s">
        <v>1806</v>
      </c>
      <c r="K15" s="256"/>
      <c r="L15" s="162" t="s">
        <v>1078</v>
      </c>
      <c r="M15" s="161" t="s">
        <v>268</v>
      </c>
    </row>
    <row r="16" spans="1:13" ht="16.5" thickBot="1" x14ac:dyDescent="0.3">
      <c r="A16" s="2"/>
      <c r="B16" s="2"/>
      <c r="C16" s="1"/>
      <c r="D16" s="80" t="s">
        <v>23</v>
      </c>
      <c r="E16" s="81">
        <f>SUM(E13:E15)</f>
        <v>13056.759999999998</v>
      </c>
      <c r="F16" s="82"/>
      <c r="H16" s="118">
        <v>44685</v>
      </c>
      <c r="I16" s="120">
        <v>2000</v>
      </c>
      <c r="J16" s="255" t="s">
        <v>139</v>
      </c>
      <c r="K16" s="256"/>
      <c r="L16" s="161" t="s">
        <v>2344</v>
      </c>
      <c r="M16" s="161" t="s">
        <v>268</v>
      </c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118">
        <v>44678</v>
      </c>
      <c r="I17" s="120">
        <v>600</v>
      </c>
      <c r="J17" s="255" t="s">
        <v>46</v>
      </c>
      <c r="K17" s="256"/>
      <c r="L17" s="162" t="s">
        <v>2345</v>
      </c>
      <c r="M17" s="161" t="s">
        <v>268</v>
      </c>
    </row>
    <row r="18" spans="1:13" ht="15.75" x14ac:dyDescent="0.25">
      <c r="A18" s="2"/>
      <c r="B18" s="3"/>
      <c r="C18" s="1"/>
      <c r="D18" s="76"/>
      <c r="E18" s="120">
        <v>550</v>
      </c>
      <c r="F18" s="150" t="s">
        <v>2332</v>
      </c>
      <c r="G18" s="121"/>
      <c r="H18" s="118">
        <v>44685</v>
      </c>
      <c r="I18" s="120">
        <v>2000</v>
      </c>
      <c r="J18" s="255"/>
      <c r="K18" s="256"/>
      <c r="L18" s="161" t="s">
        <v>2351</v>
      </c>
      <c r="M18" s="161" t="s">
        <v>268</v>
      </c>
    </row>
    <row r="19" spans="1:13" ht="15.75" x14ac:dyDescent="0.25">
      <c r="A19" s="2" t="s">
        <v>57</v>
      </c>
      <c r="B19" s="3">
        <f>B11-E11-B53</f>
        <v>5464.7950000000001</v>
      </c>
      <c r="C19" s="1"/>
      <c r="D19" s="76"/>
      <c r="E19" s="120">
        <v>960</v>
      </c>
      <c r="F19" s="151" t="s">
        <v>2333</v>
      </c>
      <c r="H19" s="118">
        <v>44685</v>
      </c>
      <c r="I19" s="120">
        <v>300</v>
      </c>
      <c r="J19" s="255"/>
      <c r="K19" s="256"/>
      <c r="L19" s="161" t="s">
        <v>2375</v>
      </c>
      <c r="M19" s="161" t="s">
        <v>268</v>
      </c>
    </row>
    <row r="20" spans="1:13" ht="15.75" x14ac:dyDescent="0.25">
      <c r="A20" s="2" t="s">
        <v>12</v>
      </c>
      <c r="B20" s="3" t="e">
        <f ca="1">B11+G4+M42-E16</f>
        <v>#NAME?</v>
      </c>
      <c r="C20" s="11"/>
      <c r="D20" s="76"/>
      <c r="E20" s="120"/>
      <c r="F20" s="8"/>
      <c r="H20" s="118">
        <v>44690</v>
      </c>
      <c r="I20" s="58">
        <v>100</v>
      </c>
      <c r="J20" s="255"/>
      <c r="K20" s="256"/>
      <c r="L20" s="161" t="s">
        <v>2255</v>
      </c>
      <c r="M20" s="161" t="s">
        <v>267</v>
      </c>
    </row>
    <row r="21" spans="1:13" ht="15.75" x14ac:dyDescent="0.25">
      <c r="A21" s="2"/>
      <c r="B21" s="3"/>
      <c r="C21" s="1"/>
      <c r="D21" s="76"/>
      <c r="E21" s="120"/>
      <c r="F21" s="151"/>
      <c r="H21" s="118">
        <v>44691</v>
      </c>
      <c r="I21" s="58">
        <v>200</v>
      </c>
      <c r="J21" s="255"/>
      <c r="K21" s="256"/>
      <c r="L21" s="161" t="s">
        <v>2347</v>
      </c>
      <c r="M21" s="161" t="s">
        <v>267</v>
      </c>
    </row>
    <row r="22" spans="1:13" ht="15.75" x14ac:dyDescent="0.25">
      <c r="A22" s="2"/>
      <c r="B22" s="2"/>
      <c r="C22" s="1"/>
      <c r="D22" s="76"/>
      <c r="E22" s="120"/>
      <c r="F22" s="151"/>
      <c r="H22" s="118">
        <v>44691</v>
      </c>
      <c r="I22" s="58">
        <v>350</v>
      </c>
      <c r="J22" s="255"/>
      <c r="K22" s="256"/>
      <c r="L22" s="161" t="s">
        <v>2348</v>
      </c>
      <c r="M22" s="161" t="s">
        <v>267</v>
      </c>
    </row>
    <row r="23" spans="1:13" ht="16.5" thickBot="1" x14ac:dyDescent="0.3">
      <c r="A23" s="17"/>
      <c r="B23" s="17"/>
      <c r="C23" s="17"/>
      <c r="D23" s="145" t="s">
        <v>23</v>
      </c>
      <c r="E23" s="146">
        <f>SUM(E18:E22)</f>
        <v>1510</v>
      </c>
      <c r="F23" s="147"/>
      <c r="G23" s="1"/>
      <c r="H23" s="118">
        <v>44687</v>
      </c>
      <c r="I23" s="97">
        <v>300</v>
      </c>
      <c r="J23" s="255"/>
      <c r="K23" s="256"/>
      <c r="L23" s="161" t="s">
        <v>2349</v>
      </c>
      <c r="M23" s="161" t="s">
        <v>268</v>
      </c>
    </row>
    <row r="24" spans="1:13" ht="16.5" thickBot="1" x14ac:dyDescent="0.3">
      <c r="A24" s="18"/>
      <c r="B24" s="18"/>
      <c r="C24" s="18"/>
      <c r="G24" s="77"/>
      <c r="H24" s="6">
        <v>44671</v>
      </c>
      <c r="I24" s="97">
        <v>350</v>
      </c>
      <c r="J24" s="182"/>
      <c r="K24" s="183"/>
      <c r="L24" s="161" t="s">
        <v>2348</v>
      </c>
      <c r="M24" s="161" t="s">
        <v>267</v>
      </c>
    </row>
    <row r="25" spans="1:13" ht="16.5" thickBot="1" x14ac:dyDescent="0.3">
      <c r="A25" s="258" t="s">
        <v>1744</v>
      </c>
      <c r="B25" s="259"/>
      <c r="C25" s="141">
        <v>44661</v>
      </c>
      <c r="D25" s="65" t="s">
        <v>1748</v>
      </c>
      <c r="E25" s="66" t="s">
        <v>1749</v>
      </c>
      <c r="G25" s="1"/>
      <c r="H25" s="6">
        <v>44691</v>
      </c>
      <c r="I25" s="97">
        <v>500</v>
      </c>
      <c r="J25" s="182"/>
      <c r="K25" s="183"/>
      <c r="L25" s="8" t="s">
        <v>2314</v>
      </c>
      <c r="M25" s="161" t="s">
        <v>267</v>
      </c>
    </row>
    <row r="26" spans="1:13" ht="15.75" x14ac:dyDescent="0.25">
      <c r="A26" s="59" t="s">
        <v>1745</v>
      </c>
      <c r="B26" s="93"/>
      <c r="C26" s="94"/>
      <c r="D26" s="95" t="e">
        <f ca="1">gfSumIfColor(I3:I29,gfCelColorName(B26))</f>
        <v>#NAME?</v>
      </c>
      <c r="E26" s="96" t="e">
        <f ca="1">C26+D26</f>
        <v>#NAME?</v>
      </c>
      <c r="G26" s="1"/>
      <c r="H26" s="6">
        <v>44691</v>
      </c>
      <c r="I26" s="97">
        <v>100</v>
      </c>
      <c r="J26" s="182"/>
      <c r="K26" s="183"/>
      <c r="L26" s="8" t="s">
        <v>2350</v>
      </c>
      <c r="M26" s="8" t="s">
        <v>268</v>
      </c>
    </row>
    <row r="27" spans="1:13" ht="19.5" thickBot="1" x14ac:dyDescent="0.35">
      <c r="A27" s="60" t="s">
        <v>1746</v>
      </c>
      <c r="B27" s="61"/>
      <c r="C27" s="61"/>
      <c r="D27" s="69" t="e">
        <f ca="1">gfSumIfColor(I3:I29,gfCelColorName(B27))</f>
        <v>#NAME?</v>
      </c>
      <c r="E27" s="67" t="e">
        <f ca="1">C27+D27</f>
        <v>#NAME?</v>
      </c>
      <c r="G27" s="9"/>
      <c r="H27" s="6">
        <v>44691</v>
      </c>
      <c r="I27" s="120">
        <v>2288</v>
      </c>
      <c r="J27" s="255" t="s">
        <v>875</v>
      </c>
      <c r="K27" s="256"/>
      <c r="L27" s="161" t="s">
        <v>2284</v>
      </c>
      <c r="M27" s="161" t="s">
        <v>268</v>
      </c>
    </row>
    <row r="28" spans="1:13" ht="16.5" thickBot="1" x14ac:dyDescent="0.3">
      <c r="A28" s="17"/>
      <c r="B28" s="17"/>
      <c r="C28" s="72">
        <f>C26+C27</f>
        <v>0</v>
      </c>
      <c r="D28" s="71" t="e">
        <f ca="1">D26+D27</f>
        <v>#NAME?</v>
      </c>
      <c r="E28" s="68" t="e">
        <f ca="1">E26+E27</f>
        <v>#NAME?</v>
      </c>
      <c r="H28" s="6">
        <v>44687</v>
      </c>
      <c r="I28" s="120">
        <v>500</v>
      </c>
      <c r="J28" s="255" t="s">
        <v>2282</v>
      </c>
      <c r="K28" s="256"/>
      <c r="L28" s="161" t="s">
        <v>2143</v>
      </c>
      <c r="M28" s="161" t="s">
        <v>267</v>
      </c>
    </row>
    <row r="29" spans="1:13" ht="15.75" x14ac:dyDescent="0.25">
      <c r="C29" s="164"/>
      <c r="H29" s="6"/>
      <c r="I29" s="120"/>
      <c r="J29" s="182"/>
      <c r="K29" s="183"/>
      <c r="L29" s="8"/>
      <c r="M29" s="8"/>
    </row>
    <row r="30" spans="1:13" ht="15" customHeight="1" x14ac:dyDescent="0.25">
      <c r="A30" s="57"/>
      <c r="H30" s="6" t="s">
        <v>23</v>
      </c>
      <c r="I30" s="193">
        <f>SUM(I3:I29)</f>
        <v>30073.8</v>
      </c>
      <c r="J30" s="194"/>
      <c r="K30" s="194"/>
      <c r="L30" s="194"/>
      <c r="M30" s="195"/>
    </row>
    <row r="31" spans="1:13" ht="15.75" x14ac:dyDescent="0.25">
      <c r="A31" s="57"/>
      <c r="J31" s="1"/>
      <c r="K31" s="1"/>
      <c r="L31" s="196"/>
      <c r="M31" s="196"/>
    </row>
    <row r="32" spans="1:13" x14ac:dyDescent="0.25">
      <c r="A32" s="170"/>
      <c r="J32" s="180" t="s">
        <v>69</v>
      </c>
      <c r="K32" s="180"/>
      <c r="L32" s="180" t="s">
        <v>69</v>
      </c>
      <c r="M32" s="180"/>
    </row>
    <row r="33" spans="1:13" x14ac:dyDescent="0.25">
      <c r="A33" s="170"/>
      <c r="J33" s="180" t="s">
        <v>65</v>
      </c>
      <c r="K33" s="180"/>
      <c r="L33" s="180" t="s">
        <v>67</v>
      </c>
      <c r="M33" s="180"/>
    </row>
    <row r="34" spans="1:13" ht="15.75" x14ac:dyDescent="0.25">
      <c r="A34" s="57"/>
      <c r="B34" s="158"/>
      <c r="C34" s="57"/>
      <c r="H34" s="57"/>
      <c r="L34" s="180"/>
      <c r="M34" s="180"/>
    </row>
    <row r="35" spans="1:13" x14ac:dyDescent="0.25">
      <c r="A35" s="57"/>
      <c r="B35" s="102"/>
      <c r="C35" t="s">
        <v>2092</v>
      </c>
      <c r="D35" s="42"/>
      <c r="E35" s="102"/>
      <c r="F35" t="s">
        <v>2093</v>
      </c>
      <c r="L35" s="18"/>
      <c r="M35" s="18"/>
    </row>
    <row r="36" spans="1:13" x14ac:dyDescent="0.25">
      <c r="A36" s="57"/>
      <c r="B36" s="57"/>
      <c r="C36" s="57">
        <f>'Fevereiro-22'!C36+'Março-22'!I62</f>
        <v>95000</v>
      </c>
      <c r="D36" s="42"/>
      <c r="E36" s="102"/>
      <c r="F36" s="57">
        <f>I42</f>
        <v>57.59</v>
      </c>
      <c r="L36" s="18"/>
      <c r="M36" s="18"/>
    </row>
    <row r="37" spans="1:13" ht="18.75" x14ac:dyDescent="0.3">
      <c r="C37" s="57"/>
      <c r="D37" s="57"/>
      <c r="E37" s="102"/>
      <c r="F37" s="57"/>
      <c r="H37" s="184" t="s">
        <v>2293</v>
      </c>
      <c r="I37" s="184"/>
      <c r="J37" s="184"/>
      <c r="K37" s="184"/>
      <c r="L37" s="180"/>
      <c r="M37" s="180"/>
    </row>
    <row r="38" spans="1:13" ht="15.75" x14ac:dyDescent="0.25">
      <c r="A38" s="57"/>
      <c r="B38" s="102"/>
      <c r="D38" s="42"/>
      <c r="E38" s="102"/>
      <c r="H38" s="2" t="s">
        <v>1</v>
      </c>
      <c r="I38" s="2" t="s">
        <v>6</v>
      </c>
      <c r="J38" s="182" t="s">
        <v>13</v>
      </c>
      <c r="K38" s="183"/>
      <c r="L38" s="180"/>
      <c r="M38" s="180"/>
    </row>
    <row r="39" spans="1:13" ht="15.75" x14ac:dyDescent="0.25">
      <c r="B39" s="102"/>
      <c r="D39" s="42"/>
      <c r="E39" s="102"/>
      <c r="H39" s="118"/>
      <c r="I39" s="58">
        <v>2100</v>
      </c>
      <c r="J39" s="255" t="s">
        <v>173</v>
      </c>
      <c r="K39" s="256"/>
      <c r="L39" s="18"/>
      <c r="M39" s="18"/>
    </row>
    <row r="40" spans="1:13" ht="15.75" x14ac:dyDescent="0.25">
      <c r="B40" s="102"/>
      <c r="D40" s="42"/>
      <c r="E40" s="102"/>
      <c r="G40" s="112"/>
      <c r="H40" s="118"/>
      <c r="I40" s="53">
        <f>1500-E23</f>
        <v>-10</v>
      </c>
      <c r="J40" s="253" t="s">
        <v>1719</v>
      </c>
      <c r="K40" s="254"/>
      <c r="L40" s="18"/>
      <c r="M40" s="18"/>
    </row>
    <row r="41" spans="1:13" ht="15.75" x14ac:dyDescent="0.25">
      <c r="B41" s="102"/>
      <c r="D41" s="102"/>
      <c r="E41" s="102"/>
      <c r="H41" s="118"/>
      <c r="I41" s="99">
        <v>81.900000000000006</v>
      </c>
      <c r="J41" s="255" t="s">
        <v>1711</v>
      </c>
      <c r="K41" s="256"/>
      <c r="L41" s="180"/>
      <c r="M41" s="180"/>
    </row>
    <row r="42" spans="1:13" ht="15.75" x14ac:dyDescent="0.25">
      <c r="B42" s="57"/>
      <c r="H42" s="118">
        <v>44400</v>
      </c>
      <c r="I42" s="109">
        <v>57.59</v>
      </c>
      <c r="J42" s="255" t="s">
        <v>2318</v>
      </c>
      <c r="K42" s="256"/>
      <c r="L42" s="100" t="s">
        <v>1754</v>
      </c>
      <c r="M42" s="102" t="e">
        <f ca="1">gfSumIfColor(I39:I68,gfCelColorName(L42))</f>
        <v>#NAME?</v>
      </c>
    </row>
    <row r="43" spans="1:13" ht="15.75" x14ac:dyDescent="0.25">
      <c r="B43" s="57"/>
      <c r="C43" s="102"/>
      <c r="H43" s="118">
        <v>44407</v>
      </c>
      <c r="I43" s="99">
        <v>263.3</v>
      </c>
      <c r="J43" s="253" t="s">
        <v>2319</v>
      </c>
      <c r="K43" s="254"/>
      <c r="L43" s="110" t="s">
        <v>1759</v>
      </c>
      <c r="M43" s="102" t="e">
        <f ca="1">gfSumIfColor(I39:I68,gfCelColorName(L43))</f>
        <v>#NAME?</v>
      </c>
    </row>
    <row r="44" spans="1:13" ht="15.75" x14ac:dyDescent="0.25">
      <c r="C44" s="102"/>
      <c r="E44" s="57"/>
      <c r="H44" s="118">
        <v>44623</v>
      </c>
      <c r="I44" s="97">
        <v>82.19</v>
      </c>
      <c r="J44" s="253" t="s">
        <v>2320</v>
      </c>
      <c r="K44" s="254"/>
      <c r="L44" s="111" t="s">
        <v>1760</v>
      </c>
      <c r="M44" s="113" t="e">
        <f ca="1">gfSumIfColor(I39:I68,gfCelColorName(L44))</f>
        <v>#NAME?</v>
      </c>
    </row>
    <row r="45" spans="1:13" ht="15.75" x14ac:dyDescent="0.25">
      <c r="C45" s="102"/>
      <c r="H45" s="118">
        <v>44658</v>
      </c>
      <c r="I45" s="109">
        <v>55.14</v>
      </c>
      <c r="J45" s="253" t="s">
        <v>1888</v>
      </c>
      <c r="K45" s="254"/>
    </row>
    <row r="46" spans="1:13" ht="15.75" x14ac:dyDescent="0.25">
      <c r="C46" s="102"/>
      <c r="H46" s="118">
        <v>44659</v>
      </c>
      <c r="I46" s="97">
        <v>96.44</v>
      </c>
      <c r="J46" s="253" t="s">
        <v>2327</v>
      </c>
      <c r="K46" s="254"/>
    </row>
    <row r="47" spans="1:13" ht="15.75" x14ac:dyDescent="0.25">
      <c r="C47" s="102"/>
      <c r="H47" s="118">
        <v>44659</v>
      </c>
      <c r="I47" s="97">
        <v>38.5</v>
      </c>
      <c r="J47" s="253" t="s">
        <v>1997</v>
      </c>
      <c r="K47" s="254"/>
    </row>
    <row r="48" spans="1:13" ht="15.75" x14ac:dyDescent="0.25">
      <c r="C48" s="102"/>
      <c r="H48" s="118">
        <v>44662</v>
      </c>
      <c r="I48" s="109">
        <v>59</v>
      </c>
      <c r="J48" s="253" t="s">
        <v>1997</v>
      </c>
      <c r="K48" s="254"/>
    </row>
    <row r="49" spans="3:11" ht="15.75" x14ac:dyDescent="0.25">
      <c r="C49" s="102"/>
      <c r="H49" s="118">
        <v>44664</v>
      </c>
      <c r="I49" s="109">
        <v>57.5</v>
      </c>
      <c r="J49" s="253" t="s">
        <v>1997</v>
      </c>
      <c r="K49" s="254"/>
    </row>
    <row r="50" spans="3:11" ht="15.75" x14ac:dyDescent="0.25">
      <c r="C50" s="102"/>
      <c r="H50" s="118">
        <v>44665</v>
      </c>
      <c r="I50" s="109">
        <v>57.5</v>
      </c>
      <c r="J50" s="253" t="s">
        <v>1997</v>
      </c>
      <c r="K50" s="254"/>
    </row>
    <row r="51" spans="3:11" ht="15.75" x14ac:dyDescent="0.25">
      <c r="C51" s="102"/>
      <c r="H51" s="118">
        <v>44670</v>
      </c>
      <c r="I51" s="109">
        <v>27.6</v>
      </c>
      <c r="J51" s="253" t="s">
        <v>2336</v>
      </c>
      <c r="K51" s="254"/>
    </row>
    <row r="52" spans="3:11" ht="15.75" x14ac:dyDescent="0.25">
      <c r="C52" s="102"/>
      <c r="H52" s="118">
        <v>44671</v>
      </c>
      <c r="I52" s="109">
        <v>58</v>
      </c>
      <c r="J52" s="253" t="s">
        <v>1997</v>
      </c>
      <c r="K52" s="254"/>
    </row>
    <row r="53" spans="3:11" ht="15.75" x14ac:dyDescent="0.25">
      <c r="C53" s="102"/>
      <c r="H53" s="118">
        <v>44676</v>
      </c>
      <c r="I53" s="109">
        <v>39</v>
      </c>
      <c r="J53" s="253" t="s">
        <v>1997</v>
      </c>
      <c r="K53" s="254"/>
    </row>
    <row r="54" spans="3:11" ht="15.75" x14ac:dyDescent="0.25">
      <c r="C54" s="102"/>
      <c r="H54" s="118">
        <v>44677</v>
      </c>
      <c r="I54" s="97">
        <v>51</v>
      </c>
      <c r="J54" s="253" t="s">
        <v>1997</v>
      </c>
      <c r="K54" s="254"/>
    </row>
    <row r="55" spans="3:11" ht="15.75" x14ac:dyDescent="0.25">
      <c r="C55" s="102"/>
      <c r="G55" s="112"/>
      <c r="H55" s="118">
        <v>44678</v>
      </c>
      <c r="I55" s="109">
        <v>58</v>
      </c>
      <c r="J55" s="253" t="s">
        <v>1997</v>
      </c>
      <c r="K55" s="254"/>
    </row>
    <row r="56" spans="3:11" ht="15.75" x14ac:dyDescent="0.25">
      <c r="C56" s="102"/>
      <c r="H56" s="118">
        <v>44679</v>
      </c>
      <c r="I56" s="109">
        <v>39</v>
      </c>
      <c r="J56" s="253" t="s">
        <v>1997</v>
      </c>
      <c r="K56" s="254"/>
    </row>
    <row r="57" spans="3:11" ht="15.75" x14ac:dyDescent="0.25">
      <c r="C57" s="102"/>
      <c r="H57" s="118">
        <v>44680</v>
      </c>
      <c r="I57" s="109">
        <v>20.350000000000001</v>
      </c>
      <c r="J57" s="253" t="s">
        <v>2339</v>
      </c>
      <c r="K57" s="254"/>
    </row>
    <row r="58" spans="3:11" ht="15.75" x14ac:dyDescent="0.25">
      <c r="H58" s="118">
        <v>44683</v>
      </c>
      <c r="I58" s="109">
        <v>15</v>
      </c>
      <c r="J58" s="253" t="s">
        <v>2338</v>
      </c>
      <c r="K58" s="254"/>
    </row>
    <row r="59" spans="3:11" ht="15.75" x14ac:dyDescent="0.25">
      <c r="H59" s="118">
        <v>44683</v>
      </c>
      <c r="I59" s="53">
        <v>4204.92</v>
      </c>
      <c r="J59" s="253" t="s">
        <v>2340</v>
      </c>
      <c r="K59" s="254"/>
    </row>
    <row r="60" spans="3:11" ht="15.75" x14ac:dyDescent="0.25">
      <c r="H60" s="118">
        <v>44691</v>
      </c>
      <c r="I60" s="53">
        <v>1800</v>
      </c>
      <c r="J60" s="253" t="s">
        <v>2202</v>
      </c>
      <c r="K60" s="254"/>
    </row>
    <row r="61" spans="3:11" ht="15.75" x14ac:dyDescent="0.25">
      <c r="H61" s="118">
        <v>44691</v>
      </c>
      <c r="I61" s="53">
        <v>1998</v>
      </c>
      <c r="J61" s="253" t="s">
        <v>2341</v>
      </c>
      <c r="K61" s="254"/>
    </row>
    <row r="62" spans="3:11" ht="15.75" x14ac:dyDescent="0.25">
      <c r="H62" s="118">
        <v>44684</v>
      </c>
      <c r="I62" s="53">
        <v>45</v>
      </c>
      <c r="J62" s="253" t="s">
        <v>1997</v>
      </c>
      <c r="K62" s="254"/>
    </row>
    <row r="63" spans="3:11" ht="15.75" x14ac:dyDescent="0.25">
      <c r="H63" s="118"/>
      <c r="I63" s="53">
        <v>5000</v>
      </c>
      <c r="J63" s="253" t="s">
        <v>2174</v>
      </c>
      <c r="K63" s="254"/>
    </row>
    <row r="64" spans="3:11" ht="15.75" x14ac:dyDescent="0.25">
      <c r="H64" s="118">
        <v>44686</v>
      </c>
      <c r="I64" s="109">
        <v>132.84</v>
      </c>
      <c r="J64" s="253" t="s">
        <v>645</v>
      </c>
      <c r="K64" s="254"/>
    </row>
    <row r="65" spans="8:11" ht="15.75" x14ac:dyDescent="0.25">
      <c r="H65" s="118">
        <v>44685</v>
      </c>
      <c r="I65" s="109">
        <v>35</v>
      </c>
      <c r="J65" s="253" t="s">
        <v>1997</v>
      </c>
      <c r="K65" s="254"/>
    </row>
    <row r="66" spans="8:11" ht="15.75" x14ac:dyDescent="0.25">
      <c r="H66" s="118">
        <v>44685</v>
      </c>
      <c r="I66" s="109">
        <v>47.94</v>
      </c>
      <c r="J66" s="253" t="s">
        <v>2346</v>
      </c>
      <c r="K66" s="254"/>
    </row>
    <row r="67" spans="8:11" ht="15.75" x14ac:dyDescent="0.25">
      <c r="H67" s="118">
        <v>44686</v>
      </c>
      <c r="I67" s="109">
        <v>57.5</v>
      </c>
      <c r="J67" s="253" t="s">
        <v>1997</v>
      </c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ht="15.75" x14ac:dyDescent="0.25">
      <c r="H70" s="118"/>
      <c r="I70" s="53"/>
      <c r="J70" s="253"/>
      <c r="K70" s="254"/>
    </row>
    <row r="71" spans="8:11" ht="15.75" x14ac:dyDescent="0.25">
      <c r="H71" s="118"/>
      <c r="I71" s="53"/>
      <c r="J71" s="253"/>
      <c r="K71" s="254"/>
    </row>
    <row r="72" spans="8:11" x14ac:dyDescent="0.25">
      <c r="I72" s="57">
        <f>SUM(I39:I71)</f>
        <v>16568.21</v>
      </c>
    </row>
  </sheetData>
  <mergeCells count="82">
    <mergeCell ref="J8:K8"/>
    <mergeCell ref="J9:K9"/>
    <mergeCell ref="J10:K10"/>
    <mergeCell ref="J11:K11"/>
    <mergeCell ref="A1:B1"/>
    <mergeCell ref="D1:F1"/>
    <mergeCell ref="H1:M1"/>
    <mergeCell ref="A2:B2"/>
    <mergeCell ref="D2:F2"/>
    <mergeCell ref="J2:K2"/>
    <mergeCell ref="J3:K3"/>
    <mergeCell ref="J4:K4"/>
    <mergeCell ref="J5:K5"/>
    <mergeCell ref="J6:K6"/>
    <mergeCell ref="J7:K7"/>
    <mergeCell ref="D12:F12"/>
    <mergeCell ref="J12:K12"/>
    <mergeCell ref="J23:K23"/>
    <mergeCell ref="J14:K14"/>
    <mergeCell ref="J15:K15"/>
    <mergeCell ref="J16:K16"/>
    <mergeCell ref="J20:K20"/>
    <mergeCell ref="J21:K21"/>
    <mergeCell ref="J22:K22"/>
    <mergeCell ref="J13:K13"/>
    <mergeCell ref="A17:B17"/>
    <mergeCell ref="D17:F17"/>
    <mergeCell ref="J17:K17"/>
    <mergeCell ref="J18:K18"/>
    <mergeCell ref="J19:K19"/>
    <mergeCell ref="H37:K37"/>
    <mergeCell ref="L37:M37"/>
    <mergeCell ref="J24:K24"/>
    <mergeCell ref="A25:B25"/>
    <mergeCell ref="J25:K25"/>
    <mergeCell ref="J29:K29"/>
    <mergeCell ref="I30:M30"/>
    <mergeCell ref="L31:M31"/>
    <mergeCell ref="J32:K32"/>
    <mergeCell ref="L32:M32"/>
    <mergeCell ref="J33:K33"/>
    <mergeCell ref="L33:M33"/>
    <mergeCell ref="L34:M34"/>
    <mergeCell ref="J26:K26"/>
    <mergeCell ref="J27:K27"/>
    <mergeCell ref="J28:K28"/>
    <mergeCell ref="L38:M38"/>
    <mergeCell ref="J39:K39"/>
    <mergeCell ref="J40:K40"/>
    <mergeCell ref="J41:K41"/>
    <mergeCell ref="L41:M41"/>
    <mergeCell ref="J50:K50"/>
    <mergeCell ref="J42:K42"/>
    <mergeCell ref="J43:K43"/>
    <mergeCell ref="J44:K44"/>
    <mergeCell ref="J38:K38"/>
    <mergeCell ref="J45:K45"/>
    <mergeCell ref="J46:K46"/>
    <mergeCell ref="J47:K47"/>
    <mergeCell ref="J48:K48"/>
    <mergeCell ref="J49:K49"/>
    <mergeCell ref="J62:K62"/>
    <mergeCell ref="J51:K51"/>
    <mergeCell ref="J52:K52"/>
    <mergeCell ref="J53:K53"/>
    <mergeCell ref="J54:K54"/>
    <mergeCell ref="J55:K55"/>
    <mergeCell ref="J56:K56"/>
    <mergeCell ref="J57:K57"/>
    <mergeCell ref="J58:K58"/>
    <mergeCell ref="J59:K59"/>
    <mergeCell ref="J60:K60"/>
    <mergeCell ref="J61:K61"/>
    <mergeCell ref="J69:K69"/>
    <mergeCell ref="J70:K70"/>
    <mergeCell ref="J71:K71"/>
    <mergeCell ref="J63:K63"/>
    <mergeCell ref="J64:K64"/>
    <mergeCell ref="J65:K65"/>
    <mergeCell ref="J66:K66"/>
    <mergeCell ref="J67:K67"/>
    <mergeCell ref="J68:K6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Planilha75"/>
  <dimension ref="A1:M70"/>
  <sheetViews>
    <sheetView zoomScale="85" zoomScaleNormal="85" workbookViewId="0">
      <selection activeCell="E15" sqref="E15"/>
    </sheetView>
  </sheetViews>
  <sheetFormatPr defaultRowHeight="15" x14ac:dyDescent="0.25"/>
  <cols>
    <col min="1" max="1" width="20.7109375" customWidth="1"/>
    <col min="2" max="2" width="19.7109375" customWidth="1"/>
    <col min="3" max="3" width="19.140625" customWidth="1"/>
    <col min="4" max="4" width="18.85546875" customWidth="1"/>
    <col min="5" max="5" width="22.7109375" customWidth="1"/>
    <col min="6" max="6" width="24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1415</v>
      </c>
      <c r="B1" s="184"/>
      <c r="C1" s="10"/>
      <c r="D1" s="229" t="s">
        <v>55</v>
      </c>
      <c r="E1" s="230"/>
      <c r="F1" s="231"/>
      <c r="H1" s="184" t="s">
        <v>2373</v>
      </c>
      <c r="I1" s="184"/>
      <c r="J1" s="184"/>
      <c r="K1" s="184"/>
      <c r="L1" s="184"/>
      <c r="M1" s="184"/>
    </row>
    <row r="2" spans="1:13" ht="19.5" thickBot="1" x14ac:dyDescent="0.35">
      <c r="A2" s="184" t="s">
        <v>115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9" t="s">
        <v>7</v>
      </c>
      <c r="K2" s="190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I28</f>
        <v>19418.510000000002</v>
      </c>
      <c r="C3" s="11"/>
      <c r="D3" s="91" t="s">
        <v>1</v>
      </c>
      <c r="E3" s="91" t="s">
        <v>6</v>
      </c>
      <c r="F3" s="92" t="s">
        <v>13</v>
      </c>
      <c r="H3" s="118">
        <v>44692</v>
      </c>
      <c r="I3" s="168">
        <v>100</v>
      </c>
      <c r="J3" s="255"/>
      <c r="K3" s="256"/>
      <c r="L3" s="161" t="s">
        <v>2252</v>
      </c>
      <c r="M3" s="161" t="s">
        <v>267</v>
      </c>
    </row>
    <row r="4" spans="1:13" ht="15.75" x14ac:dyDescent="0.25">
      <c r="A4" s="2"/>
      <c r="B4" s="3"/>
      <c r="C4" s="11"/>
      <c r="D4" s="73"/>
      <c r="E4" s="53">
        <v>-695.22</v>
      </c>
      <c r="F4" s="74" t="s">
        <v>2046</v>
      </c>
      <c r="G4" s="113"/>
      <c r="H4" s="118">
        <v>44692</v>
      </c>
      <c r="I4" s="97">
        <v>500</v>
      </c>
      <c r="J4" s="255"/>
      <c r="K4" s="256"/>
      <c r="L4" s="161" t="s">
        <v>2187</v>
      </c>
      <c r="M4" s="161" t="s">
        <v>267</v>
      </c>
    </row>
    <row r="5" spans="1:13" ht="15.75" x14ac:dyDescent="0.25">
      <c r="A5" s="2" t="s">
        <v>4</v>
      </c>
      <c r="B5" s="3">
        <f>SUM(I37:I69)</f>
        <v>79020.97</v>
      </c>
      <c r="C5" s="11"/>
      <c r="D5" s="76">
        <v>44678</v>
      </c>
      <c r="E5" s="53">
        <v>594.79</v>
      </c>
      <c r="F5" s="86" t="s">
        <v>2353</v>
      </c>
      <c r="H5" s="118">
        <v>44693</v>
      </c>
      <c r="I5" s="58">
        <v>400</v>
      </c>
      <c r="J5" s="255"/>
      <c r="K5" s="256"/>
      <c r="L5" s="161" t="s">
        <v>2085</v>
      </c>
      <c r="M5" s="161" t="s">
        <v>267</v>
      </c>
    </row>
    <row r="6" spans="1:13" ht="15.75" x14ac:dyDescent="0.25">
      <c r="A6" s="2"/>
      <c r="B6" s="3"/>
      <c r="C6" s="11"/>
      <c r="D6" s="138">
        <v>44698</v>
      </c>
      <c r="E6" s="137">
        <v>404.91</v>
      </c>
      <c r="F6" s="172" t="s">
        <v>2361</v>
      </c>
      <c r="H6" s="118">
        <v>44697</v>
      </c>
      <c r="I6" s="58">
        <v>500</v>
      </c>
      <c r="J6" s="255"/>
      <c r="K6" s="256"/>
      <c r="L6" s="161" t="s">
        <v>1896</v>
      </c>
      <c r="M6" s="161" t="s">
        <v>267</v>
      </c>
    </row>
    <row r="7" spans="1:13" ht="15.75" x14ac:dyDescent="0.25">
      <c r="A7" s="12" t="s">
        <v>5</v>
      </c>
      <c r="B7" s="25">
        <f>B3+B4-B5</f>
        <v>-59602.46</v>
      </c>
      <c r="C7" s="11"/>
      <c r="D7" s="73">
        <v>44456</v>
      </c>
      <c r="E7" s="109">
        <v>393.21</v>
      </c>
      <c r="F7" s="74" t="s">
        <v>2352</v>
      </c>
      <c r="H7" s="118">
        <v>44699</v>
      </c>
      <c r="I7" s="58">
        <v>4200</v>
      </c>
      <c r="J7" s="255" t="s">
        <v>2363</v>
      </c>
      <c r="K7" s="256"/>
      <c r="L7" s="161" t="s">
        <v>2364</v>
      </c>
      <c r="M7" s="161" t="s">
        <v>268</v>
      </c>
    </row>
    <row r="8" spans="1:13" ht="15.75" x14ac:dyDescent="0.25">
      <c r="A8" s="2"/>
      <c r="B8" s="3"/>
      <c r="C8" s="11"/>
      <c r="D8" s="73"/>
      <c r="E8" s="109"/>
      <c r="F8" s="74"/>
      <c r="H8" s="118">
        <v>44692</v>
      </c>
      <c r="I8" s="97">
        <v>1424.51</v>
      </c>
      <c r="J8" s="255"/>
      <c r="K8" s="256"/>
      <c r="L8" s="161" t="s">
        <v>2366</v>
      </c>
      <c r="M8" s="161" t="s">
        <v>267</v>
      </c>
    </row>
    <row r="9" spans="1:13" ht="15.75" x14ac:dyDescent="0.25">
      <c r="A9" s="2"/>
      <c r="B9" s="3"/>
      <c r="C9" s="11"/>
      <c r="D9" s="138"/>
      <c r="E9" s="167">
        <v>-40000</v>
      </c>
      <c r="F9" s="74" t="s">
        <v>2360</v>
      </c>
      <c r="G9" s="42"/>
      <c r="H9" s="118">
        <v>44704</v>
      </c>
      <c r="I9" s="58">
        <v>200</v>
      </c>
      <c r="J9" s="255"/>
      <c r="K9" s="256"/>
      <c r="L9" s="161" t="s">
        <v>2365</v>
      </c>
      <c r="M9" s="161" t="s">
        <v>267</v>
      </c>
    </row>
    <row r="10" spans="1:13" ht="15.75" x14ac:dyDescent="0.25">
      <c r="A10" s="2"/>
      <c r="B10" s="3"/>
      <c r="C10" s="11"/>
      <c r="D10" s="138"/>
      <c r="E10" s="53">
        <v>-15000</v>
      </c>
      <c r="F10" s="74" t="s">
        <v>2360</v>
      </c>
      <c r="G10" s="57"/>
      <c r="H10" s="118">
        <v>44704</v>
      </c>
      <c r="I10" s="175">
        <v>550</v>
      </c>
      <c r="J10" s="255"/>
      <c r="K10" s="256"/>
      <c r="L10" s="161" t="s">
        <v>2279</v>
      </c>
      <c r="M10" s="161" t="s">
        <v>267</v>
      </c>
    </row>
    <row r="11" spans="1:13" ht="15.75" x14ac:dyDescent="0.25">
      <c r="A11" s="2" t="s">
        <v>59</v>
      </c>
      <c r="B11" s="3">
        <f>(B7-B9)/2</f>
        <v>-29801.23</v>
      </c>
      <c r="C11" s="11"/>
      <c r="D11" s="173"/>
      <c r="E11" s="79">
        <v>7300</v>
      </c>
      <c r="F11" s="88" t="s">
        <v>2356</v>
      </c>
      <c r="G11" s="57"/>
      <c r="H11" s="118">
        <v>44706</v>
      </c>
      <c r="I11" s="58">
        <v>3344</v>
      </c>
      <c r="J11" s="255" t="s">
        <v>2363</v>
      </c>
      <c r="K11" s="256"/>
      <c r="L11" s="161" t="s">
        <v>2364</v>
      </c>
      <c r="M11" s="161" t="s">
        <v>268</v>
      </c>
    </row>
    <row r="12" spans="1:13" ht="15.75" x14ac:dyDescent="0.25">
      <c r="A12" s="2"/>
      <c r="B12" s="3"/>
      <c r="C12" s="11"/>
      <c r="D12" s="173"/>
      <c r="E12" s="174">
        <v>-8610</v>
      </c>
      <c r="F12" s="88" t="s">
        <v>2362</v>
      </c>
      <c r="G12" s="57"/>
      <c r="H12" s="118">
        <v>44715</v>
      </c>
      <c r="I12" s="97">
        <v>500</v>
      </c>
      <c r="J12" s="255"/>
      <c r="K12" s="256"/>
      <c r="L12" s="161" t="s">
        <v>1962</v>
      </c>
      <c r="M12" s="161" t="s">
        <v>267</v>
      </c>
    </row>
    <row r="13" spans="1:13" ht="15.75" x14ac:dyDescent="0.25">
      <c r="A13" s="2"/>
      <c r="B13" s="3"/>
      <c r="C13" s="11"/>
      <c r="D13" s="173"/>
      <c r="E13" s="174">
        <v>-138.94999999999999</v>
      </c>
      <c r="F13" s="88" t="s">
        <v>2368</v>
      </c>
      <c r="H13" s="118">
        <v>44719</v>
      </c>
      <c r="I13" s="120">
        <v>500</v>
      </c>
      <c r="J13" s="255" t="s">
        <v>2198</v>
      </c>
      <c r="K13" s="256"/>
      <c r="L13" s="161" t="s">
        <v>2143</v>
      </c>
      <c r="M13" s="161" t="s">
        <v>267</v>
      </c>
    </row>
    <row r="14" spans="1:13" ht="15.75" x14ac:dyDescent="0.25">
      <c r="A14" s="2"/>
      <c r="B14" s="3"/>
      <c r="C14" s="11"/>
      <c r="D14" s="173"/>
      <c r="E14" s="174">
        <v>-129.37</v>
      </c>
      <c r="F14" s="88" t="s">
        <v>2368</v>
      </c>
      <c r="G14" s="57"/>
      <c r="H14" s="118">
        <v>44719</v>
      </c>
      <c r="I14" s="120">
        <v>5000</v>
      </c>
      <c r="J14" s="255" t="s">
        <v>2379</v>
      </c>
      <c r="K14" s="256"/>
      <c r="L14" s="162" t="s">
        <v>2381</v>
      </c>
      <c r="M14" s="161" t="s">
        <v>268</v>
      </c>
    </row>
    <row r="15" spans="1:13" ht="15.75" x14ac:dyDescent="0.25">
      <c r="A15" s="2"/>
      <c r="B15" s="3"/>
      <c r="C15" s="11"/>
      <c r="D15" s="173"/>
      <c r="E15" s="174">
        <v>220</v>
      </c>
      <c r="F15" s="88" t="s">
        <v>2386</v>
      </c>
      <c r="H15" s="118">
        <v>44719</v>
      </c>
      <c r="I15" s="120">
        <v>300</v>
      </c>
      <c r="J15" s="255" t="s">
        <v>2380</v>
      </c>
      <c r="K15" s="256"/>
      <c r="L15" s="162" t="s">
        <v>2382</v>
      </c>
      <c r="M15" s="161" t="s">
        <v>268</v>
      </c>
    </row>
    <row r="16" spans="1:13" ht="15.75" x14ac:dyDescent="0.25">
      <c r="A16" s="2"/>
      <c r="B16" s="2"/>
      <c r="C16" s="1"/>
      <c r="D16" s="173"/>
      <c r="E16" s="174"/>
      <c r="F16" s="88"/>
      <c r="H16" s="118">
        <v>44719</v>
      </c>
      <c r="I16" s="120">
        <v>300</v>
      </c>
      <c r="J16" s="255" t="s">
        <v>2380</v>
      </c>
      <c r="K16" s="256"/>
      <c r="L16" s="161" t="s">
        <v>2383</v>
      </c>
      <c r="M16" s="161" t="s">
        <v>268</v>
      </c>
    </row>
    <row r="17" spans="1:13" ht="15.75" x14ac:dyDescent="0.25">
      <c r="A17" s="198" t="s">
        <v>56</v>
      </c>
      <c r="B17" s="198"/>
      <c r="C17" s="1"/>
      <c r="D17" s="173"/>
      <c r="E17" s="174">
        <f>(27.6+52+9.2)*-1</f>
        <v>-88.8</v>
      </c>
      <c r="F17" s="88" t="s">
        <v>2370</v>
      </c>
      <c r="H17" s="118">
        <v>44721</v>
      </c>
      <c r="I17" s="58">
        <v>100</v>
      </c>
      <c r="J17" s="255"/>
      <c r="K17" s="256"/>
      <c r="L17" s="162" t="s">
        <v>2095</v>
      </c>
      <c r="M17" s="161" t="s">
        <v>267</v>
      </c>
    </row>
    <row r="18" spans="1:13" ht="16.5" thickBot="1" x14ac:dyDescent="0.3">
      <c r="A18" s="2"/>
      <c r="B18" s="3"/>
      <c r="C18" s="1"/>
      <c r="D18" s="78"/>
      <c r="E18" s="79">
        <v>500</v>
      </c>
      <c r="F18" s="88" t="s">
        <v>2376</v>
      </c>
      <c r="G18" s="121"/>
      <c r="H18" s="118">
        <v>44699</v>
      </c>
      <c r="I18" s="120">
        <v>900</v>
      </c>
      <c r="J18" s="255" t="s">
        <v>875</v>
      </c>
      <c r="K18" s="256"/>
      <c r="L18" s="161" t="s">
        <v>2138</v>
      </c>
      <c r="M18" s="161" t="s">
        <v>268</v>
      </c>
    </row>
    <row r="19" spans="1:13" ht="16.5" thickBot="1" x14ac:dyDescent="0.3">
      <c r="A19" s="2" t="s">
        <v>57</v>
      </c>
      <c r="B19" s="3">
        <f>B11-E19</f>
        <v>25448.2</v>
      </c>
      <c r="C19" s="1"/>
      <c r="D19" s="80" t="s">
        <v>23</v>
      </c>
      <c r="E19" s="81">
        <f>SUM(E4:E18)</f>
        <v>-55249.43</v>
      </c>
      <c r="F19" s="82"/>
      <c r="H19" s="118">
        <v>44704</v>
      </c>
      <c r="I19" s="120">
        <v>600</v>
      </c>
      <c r="J19" s="255" t="s">
        <v>875</v>
      </c>
      <c r="K19" s="256"/>
      <c r="L19" s="161" t="s">
        <v>2345</v>
      </c>
      <c r="M19" s="161" t="s">
        <v>268</v>
      </c>
    </row>
    <row r="20" spans="1:13" ht="16.5" thickBot="1" x14ac:dyDescent="0.3">
      <c r="A20" s="2" t="s">
        <v>12</v>
      </c>
      <c r="B20" s="3" t="e">
        <f ca="1">B11+G4+M40-E25</f>
        <v>#NAME?</v>
      </c>
      <c r="C20" s="11"/>
      <c r="D20" s="221" t="s">
        <v>12</v>
      </c>
      <c r="E20" s="222"/>
      <c r="F20" s="223"/>
      <c r="H20" s="118"/>
      <c r="I20" s="120"/>
      <c r="J20" s="255"/>
      <c r="K20" s="256"/>
      <c r="L20" s="161"/>
      <c r="M20" s="161"/>
    </row>
    <row r="21" spans="1:13" ht="15.75" x14ac:dyDescent="0.25">
      <c r="A21" s="2"/>
      <c r="B21" s="3"/>
      <c r="C21" s="1"/>
      <c r="D21" s="76"/>
      <c r="E21" s="149">
        <v>120</v>
      </c>
      <c r="F21" s="150" t="s">
        <v>2369</v>
      </c>
      <c r="G21" s="57"/>
      <c r="H21" s="118"/>
      <c r="I21" s="120"/>
      <c r="J21" s="255"/>
      <c r="K21" s="256"/>
      <c r="L21" s="161"/>
      <c r="M21" s="161"/>
    </row>
    <row r="22" spans="1:13" ht="15.75" x14ac:dyDescent="0.25">
      <c r="A22" s="2"/>
      <c r="B22" s="2"/>
      <c r="C22" s="1"/>
      <c r="D22" s="73"/>
      <c r="E22" s="120">
        <v>-6390</v>
      </c>
      <c r="F22" s="74" t="s">
        <v>2360</v>
      </c>
      <c r="G22" s="57"/>
      <c r="H22" s="118"/>
      <c r="I22" s="120"/>
      <c r="J22" s="255"/>
      <c r="K22" s="256"/>
      <c r="L22" s="161"/>
      <c r="M22" s="161"/>
    </row>
    <row r="23" spans="1:13" ht="15.75" x14ac:dyDescent="0.25">
      <c r="A23" s="1"/>
      <c r="B23" s="1"/>
      <c r="C23" s="1"/>
      <c r="D23" s="73"/>
      <c r="E23" s="120">
        <f>I13+I14+I15+I16+I18+I19+I3</f>
        <v>7700</v>
      </c>
      <c r="F23" s="74"/>
      <c r="G23" s="1"/>
      <c r="H23" s="118"/>
      <c r="I23" s="120"/>
      <c r="J23" s="255"/>
      <c r="K23" s="256"/>
      <c r="L23" s="161"/>
      <c r="M23" s="161"/>
    </row>
    <row r="24" spans="1:13" ht="16.5" thickBot="1" x14ac:dyDescent="0.3">
      <c r="A24" s="1"/>
      <c r="B24" s="1"/>
      <c r="C24" s="1"/>
      <c r="D24" s="76"/>
      <c r="E24" s="120">
        <v>-1548</v>
      </c>
      <c r="F24" s="151" t="s">
        <v>2384</v>
      </c>
      <c r="G24" s="77"/>
      <c r="H24" s="118"/>
      <c r="I24" s="120"/>
      <c r="J24" s="255"/>
      <c r="K24" s="256"/>
      <c r="L24" s="161"/>
      <c r="M24" s="161"/>
    </row>
    <row r="25" spans="1:13" ht="16.5" thickBot="1" x14ac:dyDescent="0.3">
      <c r="A25" s="17" t="s">
        <v>2392</v>
      </c>
      <c r="B25" s="19" t="e">
        <f ca="1">-B20</f>
        <v>#NAME?</v>
      </c>
      <c r="C25" s="17"/>
      <c r="D25" s="80" t="s">
        <v>23</v>
      </c>
      <c r="E25" s="81">
        <f>SUM(E21:E24)</f>
        <v>-118</v>
      </c>
      <c r="F25" s="82"/>
      <c r="G25" s="1"/>
      <c r="H25" s="118"/>
      <c r="I25" s="120"/>
      <c r="J25" s="255"/>
      <c r="K25" s="256"/>
      <c r="L25" s="161"/>
      <c r="M25" s="161"/>
    </row>
    <row r="26" spans="1:13" ht="16.5" thickBot="1" x14ac:dyDescent="0.3">
      <c r="A26" s="18" t="s">
        <v>2389</v>
      </c>
      <c r="B26" s="177">
        <v>-2398.7800000000002</v>
      </c>
      <c r="C26" s="18"/>
      <c r="D26" s="221" t="s">
        <v>1897</v>
      </c>
      <c r="E26" s="222"/>
      <c r="F26" s="223"/>
      <c r="G26" s="1"/>
      <c r="H26" s="118"/>
      <c r="I26" s="120"/>
      <c r="J26" s="255"/>
      <c r="K26" s="256"/>
      <c r="L26" s="161"/>
      <c r="M26" s="161"/>
    </row>
    <row r="27" spans="1:13" ht="18.75" x14ac:dyDescent="0.3">
      <c r="A27" t="s">
        <v>2299</v>
      </c>
      <c r="B27" s="102">
        <v>-1998</v>
      </c>
      <c r="C27" s="164"/>
      <c r="D27" s="76"/>
      <c r="E27" s="120">
        <v>210.99</v>
      </c>
      <c r="F27" s="150" t="s">
        <v>2031</v>
      </c>
      <c r="G27" s="9"/>
      <c r="H27" s="6"/>
      <c r="I27" s="120"/>
      <c r="J27" s="182"/>
      <c r="K27" s="183"/>
      <c r="L27" s="8"/>
      <c r="M27" s="8"/>
    </row>
    <row r="28" spans="1:13" ht="15.75" x14ac:dyDescent="0.25">
      <c r="A28" s="57" t="s">
        <v>2296</v>
      </c>
      <c r="B28" s="102">
        <v>-1800</v>
      </c>
      <c r="D28" s="76"/>
      <c r="E28" s="120">
        <v>23</v>
      </c>
      <c r="F28" s="151" t="s">
        <v>2390</v>
      </c>
      <c r="H28" s="6" t="s">
        <v>23</v>
      </c>
      <c r="I28" s="193">
        <f>SUM(I3:I27)</f>
        <v>19418.510000000002</v>
      </c>
      <c r="J28" s="194"/>
      <c r="K28" s="194"/>
      <c r="L28" s="194"/>
      <c r="M28" s="195"/>
    </row>
    <row r="29" spans="1:13" ht="15.75" x14ac:dyDescent="0.25">
      <c r="A29" s="57" t="s">
        <v>2394</v>
      </c>
      <c r="B29" s="102">
        <v>-600</v>
      </c>
      <c r="D29" s="76"/>
      <c r="E29" s="120">
        <v>550</v>
      </c>
      <c r="F29" s="8" t="s">
        <v>2367</v>
      </c>
      <c r="J29" s="1"/>
      <c r="K29" s="1"/>
      <c r="L29" s="196"/>
      <c r="M29" s="196"/>
    </row>
    <row r="30" spans="1:13" ht="15" customHeight="1" x14ac:dyDescent="0.25">
      <c r="A30" s="57" t="s">
        <v>2401</v>
      </c>
      <c r="B30" s="102">
        <v>-1000</v>
      </c>
      <c r="D30" s="76"/>
      <c r="E30" s="120">
        <v>201.44</v>
      </c>
      <c r="F30" s="151" t="s">
        <v>2031</v>
      </c>
      <c r="J30" s="180" t="s">
        <v>69</v>
      </c>
      <c r="K30" s="180"/>
      <c r="L30" s="180" t="s">
        <v>69</v>
      </c>
      <c r="M30" s="180"/>
    </row>
    <row r="31" spans="1:13" ht="15.75" x14ac:dyDescent="0.25">
      <c r="A31" s="57" t="s">
        <v>2174</v>
      </c>
      <c r="B31" s="102">
        <v>-5000</v>
      </c>
      <c r="D31" s="76"/>
      <c r="E31" s="120">
        <v>51.9</v>
      </c>
      <c r="F31" s="151"/>
      <c r="J31" s="180" t="s">
        <v>65</v>
      </c>
      <c r="K31" s="180"/>
      <c r="L31" s="180" t="s">
        <v>67</v>
      </c>
      <c r="M31" s="180"/>
    </row>
    <row r="32" spans="1:13" ht="15.75" x14ac:dyDescent="0.25">
      <c r="A32" s="170"/>
      <c r="B32" s="102" t="e">
        <f ca="1">SUM(B25:B31)</f>
        <v>#NAME?</v>
      </c>
      <c r="C32" s="57"/>
      <c r="D32" s="76"/>
      <c r="E32" s="120">
        <v>63</v>
      </c>
      <c r="F32" s="151"/>
      <c r="H32" s="57"/>
      <c r="L32" s="180"/>
      <c r="M32" s="180"/>
    </row>
    <row r="33" spans="1:13" ht="16.5" thickBot="1" x14ac:dyDescent="0.3">
      <c r="A33" s="170"/>
      <c r="C33" t="s">
        <v>2092</v>
      </c>
      <c r="D33" s="145" t="s">
        <v>23</v>
      </c>
      <c r="E33" s="146">
        <f>SUM(E27:E32)</f>
        <v>1100.3300000000002</v>
      </c>
      <c r="F33" s="147"/>
      <c r="L33" s="18"/>
      <c r="M33" s="18"/>
    </row>
    <row r="34" spans="1:13" ht="15.75" x14ac:dyDescent="0.25">
      <c r="A34" s="57" t="s">
        <v>2393</v>
      </c>
      <c r="B34" s="158">
        <f>B19</f>
        <v>25448.2</v>
      </c>
      <c r="C34" s="57">
        <f>'Fevereiro-22'!C36+'Março-22'!I62+'Abril-22'!I63</f>
        <v>100000</v>
      </c>
      <c r="L34" s="18"/>
      <c r="M34" s="18"/>
    </row>
    <row r="35" spans="1:13" ht="18.75" x14ac:dyDescent="0.3">
      <c r="A35" s="57" t="s">
        <v>2176</v>
      </c>
      <c r="B35" s="102">
        <v>-7000</v>
      </c>
      <c r="C35" s="57"/>
      <c r="H35" s="184" t="s">
        <v>2374</v>
      </c>
      <c r="I35" s="184"/>
      <c r="J35" s="184"/>
      <c r="K35" s="184"/>
      <c r="L35" s="180"/>
      <c r="M35" s="180"/>
    </row>
    <row r="36" spans="1:13" ht="15.75" x14ac:dyDescent="0.25">
      <c r="A36" s="57"/>
      <c r="B36" s="57">
        <f>B34+B35</f>
        <v>18448.2</v>
      </c>
      <c r="H36" s="2" t="s">
        <v>1</v>
      </c>
      <c r="I36" s="2" t="s">
        <v>6</v>
      </c>
      <c r="J36" s="182" t="s">
        <v>13</v>
      </c>
      <c r="K36" s="183"/>
      <c r="L36" s="180"/>
      <c r="M36" s="180"/>
    </row>
    <row r="37" spans="1:13" ht="15.75" x14ac:dyDescent="0.25">
      <c r="H37" s="118"/>
      <c r="I37" s="58">
        <v>2100</v>
      </c>
      <c r="J37" s="255" t="s">
        <v>173</v>
      </c>
      <c r="K37" s="256"/>
      <c r="L37" s="18"/>
      <c r="M37" s="18"/>
    </row>
    <row r="38" spans="1:13" ht="15.75" x14ac:dyDescent="0.25">
      <c r="A38" s="57" t="e">
        <f ca="1">B36-B32</f>
        <v>#NAME?</v>
      </c>
      <c r="B38" s="102"/>
      <c r="C38" s="102"/>
      <c r="H38" s="118"/>
      <c r="I38" s="53">
        <f>1500-E33</f>
        <v>399.66999999999985</v>
      </c>
      <c r="J38" s="253" t="s">
        <v>1719</v>
      </c>
      <c r="K38" s="254"/>
      <c r="L38" s="18"/>
      <c r="M38" s="18"/>
    </row>
    <row r="39" spans="1:13" ht="15.75" x14ac:dyDescent="0.25">
      <c r="A39" s="57" t="e">
        <f ca="1">A38/2</f>
        <v>#NAME?</v>
      </c>
      <c r="B39" s="102"/>
      <c r="H39" s="118"/>
      <c r="I39" s="99">
        <v>81.900000000000006</v>
      </c>
      <c r="J39" s="255" t="s">
        <v>1711</v>
      </c>
      <c r="K39" s="256"/>
      <c r="L39" s="180"/>
      <c r="M39" s="180"/>
    </row>
    <row r="40" spans="1:13" ht="15.75" x14ac:dyDescent="0.25">
      <c r="B40" s="102" t="e">
        <f ca="1">B36-A39</f>
        <v>#NAME?</v>
      </c>
      <c r="C40" s="57"/>
      <c r="G40" s="112"/>
      <c r="H40" s="118">
        <v>44400</v>
      </c>
      <c r="I40" s="109">
        <v>57.59</v>
      </c>
      <c r="J40" s="255" t="s">
        <v>2354</v>
      </c>
      <c r="K40" s="256"/>
      <c r="L40" s="100" t="s">
        <v>1754</v>
      </c>
      <c r="M40" s="102" t="e">
        <f ca="1">gfSumIfColor(I37:I66,gfCelColorName(L40))</f>
        <v>#NAME?</v>
      </c>
    </row>
    <row r="41" spans="1:13" ht="15.75" x14ac:dyDescent="0.25">
      <c r="B41" s="102"/>
      <c r="C41" s="102"/>
      <c r="D41" s="42"/>
      <c r="E41" s="102"/>
      <c r="H41" s="118"/>
      <c r="I41" s="53"/>
      <c r="J41" s="253"/>
      <c r="K41" s="254"/>
      <c r="L41" s="110" t="s">
        <v>1759</v>
      </c>
      <c r="M41" s="102" t="e">
        <f ca="1">gfSumIfColor(I37:I66,gfCelColorName(L41))</f>
        <v>#NAME?</v>
      </c>
    </row>
    <row r="42" spans="1:13" ht="15.75" x14ac:dyDescent="0.25">
      <c r="B42" s="57"/>
      <c r="C42" s="102"/>
      <c r="D42" s="42"/>
      <c r="E42" s="102"/>
      <c r="H42" s="118">
        <v>44623</v>
      </c>
      <c r="I42" s="97">
        <v>82.19</v>
      </c>
      <c r="J42" s="253" t="s">
        <v>2355</v>
      </c>
      <c r="K42" s="254"/>
      <c r="L42" s="111" t="s">
        <v>1760</v>
      </c>
      <c r="M42" s="113" t="e">
        <f ca="1">gfSumIfColor(I37:I66,gfCelColorName(L42))</f>
        <v>#NAME?</v>
      </c>
    </row>
    <row r="43" spans="1:13" ht="15.75" x14ac:dyDescent="0.25">
      <c r="A43" s="102"/>
      <c r="B43" s="57"/>
      <c r="C43" s="102"/>
      <c r="D43" s="57"/>
      <c r="E43" s="102"/>
      <c r="H43" s="118"/>
      <c r="I43" s="53">
        <f>3097/2</f>
        <v>1548.5</v>
      </c>
      <c r="J43" s="253" t="s">
        <v>2359</v>
      </c>
      <c r="K43" s="254"/>
    </row>
    <row r="44" spans="1:13" ht="15.75" x14ac:dyDescent="0.25">
      <c r="C44" s="102"/>
      <c r="D44" s="42"/>
      <c r="E44" s="102"/>
      <c r="H44" s="118"/>
      <c r="I44" s="120">
        <v>55000</v>
      </c>
      <c r="J44" s="253" t="s">
        <v>2360</v>
      </c>
      <c r="K44" s="254"/>
    </row>
    <row r="45" spans="1:13" ht="15.75" x14ac:dyDescent="0.25">
      <c r="C45" s="102"/>
      <c r="D45" s="42"/>
      <c r="E45" s="102"/>
      <c r="F45" t="s">
        <v>2093</v>
      </c>
      <c r="H45" s="118"/>
      <c r="I45" s="97">
        <v>317.47000000000003</v>
      </c>
      <c r="J45" s="253" t="s">
        <v>2368</v>
      </c>
      <c r="K45" s="254"/>
    </row>
    <row r="46" spans="1:13" ht="15.75" x14ac:dyDescent="0.25">
      <c r="C46" s="102"/>
      <c r="D46" s="42"/>
      <c r="E46" s="102"/>
      <c r="F46" s="57">
        <f>I40</f>
        <v>57.59</v>
      </c>
      <c r="H46" s="118"/>
      <c r="I46" s="53">
        <v>138.94999999999999</v>
      </c>
      <c r="J46" s="253" t="s">
        <v>2368</v>
      </c>
      <c r="K46" s="254"/>
    </row>
    <row r="47" spans="1:13" ht="15.75" x14ac:dyDescent="0.25">
      <c r="C47" s="102"/>
      <c r="D47" s="102"/>
      <c r="E47" s="102"/>
      <c r="F47" s="57"/>
      <c r="H47" s="118"/>
      <c r="I47" s="53">
        <v>129.37</v>
      </c>
      <c r="J47" s="253" t="s">
        <v>2368</v>
      </c>
      <c r="K47" s="254"/>
    </row>
    <row r="48" spans="1:13" ht="15.75" x14ac:dyDescent="0.25">
      <c r="C48" s="102"/>
      <c r="H48" s="118"/>
      <c r="I48" s="53">
        <v>88.8</v>
      </c>
      <c r="J48" s="253" t="s">
        <v>2370</v>
      </c>
      <c r="K48" s="254"/>
    </row>
    <row r="49" spans="3:11" ht="15.75" x14ac:dyDescent="0.25">
      <c r="C49" s="102"/>
      <c r="H49" s="118"/>
      <c r="I49" s="53">
        <v>100</v>
      </c>
      <c r="J49" s="253" t="s">
        <v>2371</v>
      </c>
      <c r="K49" s="254"/>
    </row>
    <row r="50" spans="3:11" ht="15.75" x14ac:dyDescent="0.25">
      <c r="C50" s="102"/>
      <c r="E50" s="57"/>
      <c r="H50" s="118">
        <v>44708</v>
      </c>
      <c r="I50" s="53">
        <v>15</v>
      </c>
      <c r="J50" s="253" t="s">
        <v>2372</v>
      </c>
      <c r="K50" s="254"/>
    </row>
    <row r="51" spans="3:11" ht="15.75" x14ac:dyDescent="0.25">
      <c r="C51" s="102"/>
      <c r="H51" s="118">
        <v>44713</v>
      </c>
      <c r="I51" s="109">
        <v>1200</v>
      </c>
      <c r="J51" s="253" t="s">
        <v>2377</v>
      </c>
      <c r="K51" s="254"/>
    </row>
    <row r="52" spans="3:11" ht="15.75" x14ac:dyDescent="0.25">
      <c r="C52" s="102"/>
      <c r="H52" s="118">
        <v>44714</v>
      </c>
      <c r="I52" s="97">
        <v>500</v>
      </c>
      <c r="J52" s="253" t="s">
        <v>2378</v>
      </c>
      <c r="K52" s="254"/>
    </row>
    <row r="53" spans="3:11" ht="15.75" x14ac:dyDescent="0.25">
      <c r="C53" s="102"/>
      <c r="H53" s="118">
        <v>44715</v>
      </c>
      <c r="I53" s="109">
        <v>128.09</v>
      </c>
      <c r="J53" s="253" t="s">
        <v>1972</v>
      </c>
      <c r="K53" s="254"/>
    </row>
    <row r="54" spans="3:11" ht="15.75" x14ac:dyDescent="0.25">
      <c r="C54" s="102"/>
      <c r="H54" s="118">
        <v>44718</v>
      </c>
      <c r="I54" s="109">
        <v>135</v>
      </c>
      <c r="J54" s="253" t="s">
        <v>645</v>
      </c>
      <c r="K54" s="254"/>
    </row>
    <row r="55" spans="3:11" ht="15.75" x14ac:dyDescent="0.25">
      <c r="C55" s="102"/>
      <c r="G55" s="112"/>
      <c r="H55" s="118">
        <v>44719</v>
      </c>
      <c r="I55" s="109">
        <v>190.44</v>
      </c>
      <c r="J55" s="253" t="s">
        <v>2368</v>
      </c>
      <c r="K55" s="254"/>
    </row>
    <row r="56" spans="3:11" ht="15.75" x14ac:dyDescent="0.25">
      <c r="H56" s="118"/>
      <c r="I56" s="53">
        <v>6390</v>
      </c>
      <c r="J56" s="253" t="s">
        <v>2360</v>
      </c>
      <c r="K56" s="254"/>
    </row>
    <row r="57" spans="3:11" ht="15.75" x14ac:dyDescent="0.25">
      <c r="H57" s="118"/>
      <c r="I57" s="53">
        <v>1800</v>
      </c>
      <c r="J57" s="253" t="s">
        <v>2285</v>
      </c>
      <c r="K57" s="254"/>
    </row>
    <row r="58" spans="3:11" ht="15.75" x14ac:dyDescent="0.25">
      <c r="H58" s="118"/>
      <c r="I58" s="53">
        <v>1998</v>
      </c>
      <c r="J58" s="253" t="s">
        <v>2385</v>
      </c>
      <c r="K58" s="254"/>
    </row>
    <row r="59" spans="3:11" ht="15.75" x14ac:dyDescent="0.25">
      <c r="H59" s="118"/>
      <c r="I59" s="53">
        <v>5000</v>
      </c>
      <c r="J59" s="253" t="s">
        <v>2069</v>
      </c>
      <c r="K59" s="254"/>
    </row>
    <row r="60" spans="3:11" ht="15.75" x14ac:dyDescent="0.25">
      <c r="H60" s="118"/>
      <c r="I60" s="109">
        <v>20</v>
      </c>
      <c r="J60" s="253" t="s">
        <v>2387</v>
      </c>
      <c r="K60" s="254"/>
    </row>
    <row r="61" spans="3:11" ht="15.75" x14ac:dyDescent="0.25">
      <c r="H61" s="118"/>
      <c r="I61" s="53">
        <v>600</v>
      </c>
      <c r="J61" s="253" t="s">
        <v>2388</v>
      </c>
      <c r="K61" s="254"/>
    </row>
    <row r="62" spans="3:11" ht="15.75" x14ac:dyDescent="0.25">
      <c r="H62" s="118"/>
      <c r="I62" s="53">
        <v>1000</v>
      </c>
      <c r="J62" s="253" t="s">
        <v>2400</v>
      </c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x14ac:dyDescent="0.25">
      <c r="I70" s="57">
        <f>SUM(I37:I69)</f>
        <v>79020.97</v>
      </c>
    </row>
  </sheetData>
  <mergeCells count="79">
    <mergeCell ref="J8:K8"/>
    <mergeCell ref="J9:K9"/>
    <mergeCell ref="J10:K10"/>
    <mergeCell ref="J11:K11"/>
    <mergeCell ref="A1:B1"/>
    <mergeCell ref="D1:F1"/>
    <mergeCell ref="H1:M1"/>
    <mergeCell ref="A2:B2"/>
    <mergeCell ref="D2:F2"/>
    <mergeCell ref="J2:K2"/>
    <mergeCell ref="J3:K3"/>
    <mergeCell ref="J4:K4"/>
    <mergeCell ref="J5:K5"/>
    <mergeCell ref="J6:K6"/>
    <mergeCell ref="J7:K7"/>
    <mergeCell ref="J12:K12"/>
    <mergeCell ref="J14:K14"/>
    <mergeCell ref="J15:K15"/>
    <mergeCell ref="J16:K16"/>
    <mergeCell ref="J13:K13"/>
    <mergeCell ref="A17:B17"/>
    <mergeCell ref="D26:F26"/>
    <mergeCell ref="J17:K17"/>
    <mergeCell ref="J26:K26"/>
    <mergeCell ref="J18:K18"/>
    <mergeCell ref="J19:K19"/>
    <mergeCell ref="J20:K20"/>
    <mergeCell ref="J21:K21"/>
    <mergeCell ref="J22:K22"/>
    <mergeCell ref="J23:K23"/>
    <mergeCell ref="J24:K24"/>
    <mergeCell ref="J25:K25"/>
    <mergeCell ref="D20:F20"/>
    <mergeCell ref="J37:K37"/>
    <mergeCell ref="J27:K27"/>
    <mergeCell ref="I28:M28"/>
    <mergeCell ref="L29:M29"/>
    <mergeCell ref="J30:K30"/>
    <mergeCell ref="L30:M30"/>
    <mergeCell ref="J31:K31"/>
    <mergeCell ref="L31:M31"/>
    <mergeCell ref="L32:M32"/>
    <mergeCell ref="H35:K35"/>
    <mergeCell ref="L35:M35"/>
    <mergeCell ref="J36:K36"/>
    <mergeCell ref="L36:M36"/>
    <mergeCell ref="J48:K48"/>
    <mergeCell ref="J38:K38"/>
    <mergeCell ref="J39:K39"/>
    <mergeCell ref="L39:M39"/>
    <mergeCell ref="J40:K40"/>
    <mergeCell ref="J41:K41"/>
    <mergeCell ref="J42:K42"/>
    <mergeCell ref="J43:K43"/>
    <mergeCell ref="J44:K44"/>
    <mergeCell ref="J45:K45"/>
    <mergeCell ref="J46:K46"/>
    <mergeCell ref="J47:K47"/>
    <mergeCell ref="J60:K60"/>
    <mergeCell ref="J49:K49"/>
    <mergeCell ref="J50:K50"/>
    <mergeCell ref="J51:K51"/>
    <mergeCell ref="J52:K52"/>
    <mergeCell ref="J53:K53"/>
    <mergeCell ref="J54:K54"/>
    <mergeCell ref="J55:K55"/>
    <mergeCell ref="J56:K56"/>
    <mergeCell ref="J57:K57"/>
    <mergeCell ref="J58:K58"/>
    <mergeCell ref="J59:K59"/>
    <mergeCell ref="J67:K67"/>
    <mergeCell ref="J68:K68"/>
    <mergeCell ref="J69:K69"/>
    <mergeCell ref="J61:K61"/>
    <mergeCell ref="J62:K62"/>
    <mergeCell ref="J63:K63"/>
    <mergeCell ref="J64:K64"/>
    <mergeCell ref="J65:K65"/>
    <mergeCell ref="J66:K6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Planilha76"/>
  <dimension ref="A1:M70"/>
  <sheetViews>
    <sheetView topLeftCell="B1" zoomScale="85" zoomScaleNormal="85" workbookViewId="0">
      <selection activeCell="P16" sqref="O16:P16"/>
    </sheetView>
  </sheetViews>
  <sheetFormatPr defaultRowHeight="15" x14ac:dyDescent="0.25"/>
  <cols>
    <col min="1" max="1" width="20.7109375" customWidth="1"/>
    <col min="2" max="3" width="19.7109375" customWidth="1"/>
    <col min="4" max="4" width="18.85546875" customWidth="1"/>
    <col min="5" max="5" width="22.7109375" customWidth="1"/>
    <col min="6" max="6" width="24" customWidth="1"/>
    <col min="7" max="7" width="20.7109375" customWidth="1"/>
    <col min="8" max="8" width="16" customWidth="1"/>
    <col min="9" max="9" width="17.85546875" customWidth="1"/>
    <col min="10" max="10" width="15.28515625" customWidth="1"/>
    <col min="11" max="11" width="46.85546875" customWidth="1"/>
    <col min="12" max="12" width="25.7109375" customWidth="1"/>
    <col min="13" max="13" width="15.140625" customWidth="1"/>
  </cols>
  <sheetData>
    <row r="1" spans="1:13" ht="19.5" thickBot="1" x14ac:dyDescent="0.35">
      <c r="A1" s="184" t="s">
        <v>1415</v>
      </c>
      <c r="B1" s="184"/>
      <c r="C1" s="10"/>
      <c r="D1" s="229" t="s">
        <v>55</v>
      </c>
      <c r="E1" s="230"/>
      <c r="F1" s="231"/>
      <c r="H1" s="184" t="s">
        <v>2373</v>
      </c>
      <c r="I1" s="184"/>
      <c r="J1" s="184"/>
      <c r="K1" s="184"/>
      <c r="L1" s="184"/>
      <c r="M1" s="184"/>
    </row>
    <row r="2" spans="1:13" ht="19.5" thickBot="1" x14ac:dyDescent="0.35">
      <c r="A2" s="184" t="s">
        <v>115</v>
      </c>
      <c r="B2" s="184"/>
      <c r="C2" s="10"/>
      <c r="D2" s="232" t="s">
        <v>57</v>
      </c>
      <c r="E2" s="233"/>
      <c r="F2" s="234"/>
      <c r="H2" s="12" t="s">
        <v>1</v>
      </c>
      <c r="I2" s="13" t="s">
        <v>6</v>
      </c>
      <c r="J2" s="189" t="s">
        <v>7</v>
      </c>
      <c r="K2" s="190"/>
      <c r="L2" s="13" t="s">
        <v>8</v>
      </c>
      <c r="M2" s="13" t="s">
        <v>9</v>
      </c>
    </row>
    <row r="3" spans="1:13" ht="16.5" thickBot="1" x14ac:dyDescent="0.3">
      <c r="A3" s="2" t="s">
        <v>2</v>
      </c>
      <c r="B3" s="3">
        <f>I30</f>
        <v>750</v>
      </c>
      <c r="C3" s="11"/>
      <c r="D3" s="91" t="s">
        <v>1</v>
      </c>
      <c r="E3" s="91" t="s">
        <v>6</v>
      </c>
      <c r="F3" s="92" t="s">
        <v>13</v>
      </c>
      <c r="H3" s="118">
        <v>44722</v>
      </c>
      <c r="I3" s="58">
        <v>250</v>
      </c>
      <c r="J3" s="255" t="s">
        <v>1124</v>
      </c>
      <c r="K3" s="256"/>
      <c r="L3" s="161" t="s">
        <v>2391</v>
      </c>
      <c r="M3" s="161" t="s">
        <v>268</v>
      </c>
    </row>
    <row r="4" spans="1:13" ht="15.75" x14ac:dyDescent="0.25">
      <c r="A4" s="2"/>
      <c r="B4" s="3"/>
      <c r="C4" s="11"/>
      <c r="D4" s="73"/>
      <c r="E4" s="53">
        <v>-948.43</v>
      </c>
      <c r="F4" s="74" t="s">
        <v>2046</v>
      </c>
      <c r="G4" s="113"/>
      <c r="H4" s="118">
        <v>44722</v>
      </c>
      <c r="I4" s="97">
        <v>500</v>
      </c>
      <c r="J4" s="182"/>
      <c r="K4" s="183"/>
      <c r="L4" s="8" t="s">
        <v>2314</v>
      </c>
      <c r="M4" s="161" t="s">
        <v>267</v>
      </c>
    </row>
    <row r="5" spans="1:13" ht="15.75" x14ac:dyDescent="0.25">
      <c r="A5" s="2" t="s">
        <v>4</v>
      </c>
      <c r="B5" s="3">
        <f>SUM(I39:I69)</f>
        <v>2321.6800000000003</v>
      </c>
      <c r="C5" s="11"/>
      <c r="D5" s="76">
        <v>44678</v>
      </c>
      <c r="E5" s="53">
        <v>594.79</v>
      </c>
      <c r="F5" s="86" t="s">
        <v>2395</v>
      </c>
      <c r="H5" s="118"/>
      <c r="I5" s="120"/>
      <c r="J5" s="255"/>
      <c r="K5" s="256"/>
      <c r="L5" s="161"/>
      <c r="M5" s="161"/>
    </row>
    <row r="6" spans="1:13" ht="15.75" x14ac:dyDescent="0.25">
      <c r="A6" s="2"/>
      <c r="B6" s="3"/>
      <c r="C6" s="11"/>
      <c r="D6" s="138">
        <v>44698</v>
      </c>
      <c r="E6" s="137">
        <v>404.91</v>
      </c>
      <c r="F6" s="172" t="s">
        <v>2396</v>
      </c>
      <c r="H6" s="118"/>
      <c r="I6" s="120"/>
      <c r="J6" s="255"/>
      <c r="K6" s="256"/>
      <c r="L6" s="161"/>
      <c r="M6" s="161"/>
    </row>
    <row r="7" spans="1:13" ht="15.75" x14ac:dyDescent="0.25">
      <c r="A7" s="12" t="s">
        <v>5</v>
      </c>
      <c r="B7" s="25">
        <f>B3+B4-B5</f>
        <v>-1571.6800000000003</v>
      </c>
      <c r="C7" s="11"/>
      <c r="D7" s="73">
        <v>44456</v>
      </c>
      <c r="E7" s="109">
        <v>393.21</v>
      </c>
      <c r="F7" s="74" t="s">
        <v>2397</v>
      </c>
      <c r="H7" s="118"/>
      <c r="I7" s="120"/>
      <c r="J7" s="255"/>
      <c r="K7" s="256"/>
      <c r="L7" s="161"/>
      <c r="M7" s="161"/>
    </row>
    <row r="8" spans="1:13" ht="15.75" x14ac:dyDescent="0.25">
      <c r="A8" s="2"/>
      <c r="B8" s="3"/>
      <c r="C8" s="11"/>
      <c r="D8" s="138"/>
      <c r="E8" s="167">
        <v>1538.01</v>
      </c>
      <c r="F8" s="74" t="s">
        <v>2402</v>
      </c>
      <c r="H8" s="118"/>
      <c r="I8" s="120"/>
      <c r="J8" s="255"/>
      <c r="K8" s="256"/>
      <c r="L8" s="161"/>
      <c r="M8" s="161"/>
    </row>
    <row r="9" spans="1:13" ht="16.5" thickBot="1" x14ac:dyDescent="0.3">
      <c r="A9" s="2"/>
      <c r="B9" s="3"/>
      <c r="C9" s="11"/>
      <c r="D9" s="78"/>
      <c r="E9" s="79"/>
      <c r="F9" s="88"/>
      <c r="G9" s="42"/>
      <c r="H9" s="118"/>
      <c r="I9" s="120"/>
      <c r="J9" s="255"/>
      <c r="K9" s="256"/>
      <c r="L9" s="161"/>
      <c r="M9" s="161"/>
    </row>
    <row r="10" spans="1:13" ht="16.5" thickBot="1" x14ac:dyDescent="0.3">
      <c r="A10" s="2"/>
      <c r="B10" s="3"/>
      <c r="C10" s="11"/>
      <c r="D10" s="80" t="s">
        <v>23</v>
      </c>
      <c r="E10" s="81">
        <f>SUM(E4:E9)</f>
        <v>1982.49</v>
      </c>
      <c r="F10" s="82"/>
      <c r="G10" s="57"/>
      <c r="H10" s="118"/>
      <c r="I10" s="176"/>
      <c r="J10" s="255"/>
      <c r="K10" s="256"/>
      <c r="L10" s="161"/>
      <c r="M10" s="161"/>
    </row>
    <row r="11" spans="1:13" ht="16.5" thickBot="1" x14ac:dyDescent="0.3">
      <c r="A11" s="2" t="s">
        <v>59</v>
      </c>
      <c r="B11" s="3">
        <f>(B7-B9)/2</f>
        <v>-785.84000000000015</v>
      </c>
      <c r="C11" s="11"/>
      <c r="D11" s="221" t="s">
        <v>12</v>
      </c>
      <c r="E11" s="222"/>
      <c r="F11" s="223"/>
      <c r="G11" s="57"/>
      <c r="H11" s="118"/>
      <c r="I11" s="120"/>
      <c r="J11" s="255"/>
      <c r="K11" s="256"/>
      <c r="L11" s="161"/>
      <c r="M11" s="161"/>
    </row>
    <row r="12" spans="1:13" ht="15.75" x14ac:dyDescent="0.25">
      <c r="A12" s="2"/>
      <c r="B12" s="3"/>
      <c r="C12" s="11"/>
      <c r="D12" s="76"/>
      <c r="E12" s="167">
        <v>-1538.01</v>
      </c>
      <c r="F12" s="74" t="s">
        <v>2402</v>
      </c>
      <c r="G12" s="57"/>
      <c r="H12" s="118"/>
      <c r="I12" s="120"/>
      <c r="J12" s="255"/>
      <c r="K12" s="256"/>
      <c r="L12" s="161"/>
      <c r="M12" s="161"/>
    </row>
    <row r="13" spans="1:13" ht="15.75" x14ac:dyDescent="0.25">
      <c r="A13" s="2"/>
      <c r="B13" s="3"/>
      <c r="C13" s="11"/>
      <c r="D13" s="73"/>
      <c r="E13" s="120"/>
      <c r="F13" s="74"/>
      <c r="H13" s="118"/>
      <c r="I13" s="120"/>
      <c r="J13" s="255"/>
      <c r="K13" s="256"/>
      <c r="L13" s="161"/>
      <c r="M13" s="161"/>
    </row>
    <row r="14" spans="1:13" ht="15.75" x14ac:dyDescent="0.25">
      <c r="A14" s="2"/>
      <c r="B14" s="3"/>
      <c r="C14" s="11"/>
      <c r="D14" s="73"/>
      <c r="E14" s="120"/>
      <c r="F14" s="74"/>
      <c r="G14" s="57"/>
      <c r="H14" s="118"/>
      <c r="I14" s="120"/>
      <c r="J14" s="255"/>
      <c r="K14" s="256"/>
      <c r="L14" s="162"/>
      <c r="M14" s="161"/>
    </row>
    <row r="15" spans="1:13" ht="16.5" thickBot="1" x14ac:dyDescent="0.3">
      <c r="A15" s="2"/>
      <c r="B15" s="3"/>
      <c r="C15" s="11"/>
      <c r="D15" s="76"/>
      <c r="E15" s="120"/>
      <c r="F15" s="151"/>
      <c r="H15" s="118"/>
      <c r="I15" s="120"/>
      <c r="J15" s="255"/>
      <c r="K15" s="256"/>
      <c r="L15" s="162"/>
      <c r="M15" s="161"/>
    </row>
    <row r="16" spans="1:13" ht="16.5" thickBot="1" x14ac:dyDescent="0.3">
      <c r="A16" s="2"/>
      <c r="B16" s="2"/>
      <c r="C16" s="1"/>
      <c r="D16" s="80" t="s">
        <v>23</v>
      </c>
      <c r="E16" s="81">
        <f>SUM(E12:E15)</f>
        <v>-1538.01</v>
      </c>
      <c r="F16" s="82"/>
      <c r="H16" s="118"/>
      <c r="I16" s="120"/>
      <c r="J16" s="255"/>
      <c r="K16" s="256"/>
      <c r="L16" s="161"/>
      <c r="M16" s="161"/>
    </row>
    <row r="17" spans="1:13" ht="16.5" thickBot="1" x14ac:dyDescent="0.3">
      <c r="A17" s="198" t="s">
        <v>56</v>
      </c>
      <c r="B17" s="198"/>
      <c r="C17" s="1"/>
      <c r="D17" s="221" t="s">
        <v>1897</v>
      </c>
      <c r="E17" s="222"/>
      <c r="F17" s="223"/>
      <c r="H17" s="118"/>
      <c r="I17" s="120"/>
      <c r="J17" s="255"/>
      <c r="K17" s="256"/>
      <c r="L17" s="162"/>
      <c r="M17" s="161"/>
    </row>
    <row r="18" spans="1:13" ht="15.75" x14ac:dyDescent="0.25">
      <c r="A18" s="2"/>
      <c r="B18" s="3"/>
      <c r="C18" s="1"/>
      <c r="D18" s="76"/>
      <c r="E18" s="120"/>
      <c r="F18" s="150"/>
      <c r="G18" s="121"/>
      <c r="H18" s="118"/>
      <c r="I18" s="120"/>
      <c r="J18" s="255"/>
      <c r="K18" s="256"/>
      <c r="L18" s="161"/>
      <c r="M18" s="161"/>
    </row>
    <row r="19" spans="1:13" ht="16.5" thickBot="1" x14ac:dyDescent="0.3">
      <c r="A19" s="2" t="s">
        <v>57</v>
      </c>
      <c r="B19" s="3">
        <f>B11-E10</f>
        <v>-2768.33</v>
      </c>
      <c r="C19" s="1"/>
      <c r="D19" s="145" t="s">
        <v>23</v>
      </c>
      <c r="E19" s="146">
        <f>SUM(E18:E18)</f>
        <v>0</v>
      </c>
      <c r="F19" s="147"/>
      <c r="H19" s="118"/>
      <c r="I19" s="120"/>
      <c r="J19" s="255"/>
      <c r="K19" s="256"/>
      <c r="L19" s="161"/>
      <c r="M19" s="161"/>
    </row>
    <row r="20" spans="1:13" ht="15.75" x14ac:dyDescent="0.25">
      <c r="A20" s="2" t="s">
        <v>12</v>
      </c>
      <c r="B20" s="3" t="e">
        <f ca="1">B11+G4+M42-E16</f>
        <v>#NAME?</v>
      </c>
      <c r="C20" s="11"/>
      <c r="H20" s="118"/>
      <c r="I20" s="120"/>
      <c r="J20" s="255"/>
      <c r="K20" s="256"/>
      <c r="L20" s="161"/>
      <c r="M20" s="161"/>
    </row>
    <row r="21" spans="1:13" ht="15.75" x14ac:dyDescent="0.25">
      <c r="A21" s="2"/>
      <c r="B21" s="3"/>
      <c r="C21" s="1"/>
      <c r="G21" s="57"/>
      <c r="H21" s="118"/>
      <c r="I21" s="120"/>
      <c r="J21" s="255"/>
      <c r="K21" s="256"/>
      <c r="L21" s="161"/>
      <c r="M21" s="161"/>
    </row>
    <row r="22" spans="1:13" ht="15.75" x14ac:dyDescent="0.25">
      <c r="A22" s="2"/>
      <c r="B22" s="2"/>
      <c r="C22" s="1"/>
      <c r="G22" s="57"/>
      <c r="H22" s="118"/>
      <c r="I22" s="120"/>
      <c r="J22" s="255"/>
      <c r="K22" s="256"/>
      <c r="L22" s="161"/>
      <c r="M22" s="161"/>
    </row>
    <row r="23" spans="1:13" ht="15.75" x14ac:dyDescent="0.25">
      <c r="A23" s="1"/>
      <c r="B23" s="1"/>
      <c r="C23" s="1"/>
      <c r="G23" s="1"/>
      <c r="H23" s="118"/>
      <c r="I23" s="120"/>
      <c r="J23" s="255"/>
      <c r="K23" s="256"/>
      <c r="L23" s="161"/>
      <c r="M23" s="161"/>
    </row>
    <row r="24" spans="1:13" ht="15.75" x14ac:dyDescent="0.25">
      <c r="A24" s="1"/>
      <c r="B24" s="1"/>
      <c r="C24" s="1"/>
      <c r="G24" s="77"/>
      <c r="H24" s="118"/>
      <c r="I24" s="120"/>
      <c r="J24" s="255"/>
      <c r="K24" s="256"/>
      <c r="L24" s="161"/>
      <c r="M24" s="161"/>
    </row>
    <row r="25" spans="1:13" ht="15.75" x14ac:dyDescent="0.25">
      <c r="A25" s="17"/>
      <c r="B25" s="19"/>
      <c r="C25" s="17"/>
      <c r="G25" s="1"/>
      <c r="H25" s="118"/>
      <c r="I25" s="120"/>
      <c r="J25" s="255"/>
      <c r="K25" s="256"/>
      <c r="L25" s="161"/>
      <c r="M25" s="161"/>
    </row>
    <row r="26" spans="1:13" ht="15.75" x14ac:dyDescent="0.25">
      <c r="A26" s="18"/>
      <c r="B26" s="18"/>
      <c r="C26" s="18"/>
      <c r="G26" s="1"/>
      <c r="H26" s="118"/>
      <c r="I26" s="120"/>
      <c r="J26" s="255"/>
      <c r="K26" s="256"/>
      <c r="L26" s="161"/>
      <c r="M26" s="161"/>
    </row>
    <row r="27" spans="1:13" ht="18.75" x14ac:dyDescent="0.3">
      <c r="C27" s="164"/>
      <c r="D27" s="42"/>
      <c r="E27" s="102"/>
      <c r="G27" s="9"/>
      <c r="H27" s="118"/>
      <c r="I27" s="120"/>
      <c r="J27" s="255"/>
      <c r="K27" s="256"/>
      <c r="L27" s="161"/>
      <c r="M27" s="161"/>
    </row>
    <row r="28" spans="1:13" ht="15.75" x14ac:dyDescent="0.25">
      <c r="A28" s="57"/>
      <c r="D28" s="42"/>
      <c r="E28" s="102"/>
      <c r="H28" s="118"/>
      <c r="I28" s="120"/>
      <c r="J28" s="255"/>
      <c r="K28" s="256"/>
      <c r="L28" s="161"/>
      <c r="M28" s="161"/>
    </row>
    <row r="29" spans="1:13" ht="15.75" x14ac:dyDescent="0.25">
      <c r="A29" s="57"/>
      <c r="D29" s="57"/>
      <c r="E29" s="102"/>
      <c r="H29" s="6"/>
      <c r="I29" s="120"/>
      <c r="J29" s="182"/>
      <c r="K29" s="183"/>
      <c r="L29" s="8"/>
      <c r="M29" s="8"/>
    </row>
    <row r="30" spans="1:13" ht="15" customHeight="1" x14ac:dyDescent="0.25">
      <c r="A30" s="57"/>
      <c r="D30" s="42"/>
      <c r="E30" s="102"/>
      <c r="H30" s="6" t="s">
        <v>23</v>
      </c>
      <c r="I30" s="193">
        <f>SUM(I3:I29)</f>
        <v>750</v>
      </c>
      <c r="J30" s="194"/>
      <c r="K30" s="194"/>
      <c r="L30" s="194"/>
      <c r="M30" s="195"/>
    </row>
    <row r="31" spans="1:13" ht="15.75" x14ac:dyDescent="0.25">
      <c r="A31" s="170"/>
      <c r="D31" s="42"/>
      <c r="E31" s="102"/>
      <c r="F31" t="s">
        <v>2093</v>
      </c>
      <c r="J31" s="1"/>
      <c r="K31" s="1"/>
      <c r="L31" s="196"/>
      <c r="M31" s="196"/>
    </row>
    <row r="32" spans="1:13" x14ac:dyDescent="0.25">
      <c r="A32" s="170"/>
      <c r="C32" s="57"/>
      <c r="D32" s="42"/>
      <c r="E32" s="102"/>
      <c r="F32" s="57">
        <f>I41</f>
        <v>57.59</v>
      </c>
      <c r="J32" s="180" t="s">
        <v>69</v>
      </c>
      <c r="K32" s="180"/>
      <c r="L32" s="180" t="s">
        <v>69</v>
      </c>
      <c r="M32" s="180"/>
    </row>
    <row r="33" spans="1:13" ht="15.75" x14ac:dyDescent="0.25">
      <c r="A33" s="57"/>
      <c r="B33" s="158"/>
      <c r="C33" t="s">
        <v>2092</v>
      </c>
      <c r="D33" s="102"/>
      <c r="E33" s="102"/>
      <c r="F33" s="57"/>
      <c r="J33" s="180" t="s">
        <v>65</v>
      </c>
      <c r="K33" s="180"/>
      <c r="L33" s="180" t="s">
        <v>67</v>
      </c>
      <c r="M33" s="180"/>
    </row>
    <row r="34" spans="1:13" x14ac:dyDescent="0.25">
      <c r="A34" s="57"/>
      <c r="B34" s="102"/>
      <c r="C34" s="57">
        <f>'Fevereiro-22'!C36+'Março-22'!I62+'Abril-22'!I63+'Maio-22'!I59</f>
        <v>105000</v>
      </c>
      <c r="H34" s="57"/>
      <c r="L34" s="180"/>
      <c r="M34" s="180"/>
    </row>
    <row r="35" spans="1:13" x14ac:dyDescent="0.25">
      <c r="A35" s="57"/>
      <c r="B35" s="57"/>
      <c r="C35" s="57"/>
      <c r="L35" s="18"/>
      <c r="M35" s="18"/>
    </row>
    <row r="36" spans="1:13" x14ac:dyDescent="0.25">
      <c r="B36" s="57"/>
      <c r="E36" s="57"/>
      <c r="L36" s="18"/>
      <c r="M36" s="18"/>
    </row>
    <row r="37" spans="1:13" ht="18.75" x14ac:dyDescent="0.3">
      <c r="A37" s="57"/>
      <c r="B37" s="102"/>
      <c r="H37" s="184" t="s">
        <v>2374</v>
      </c>
      <c r="I37" s="184"/>
      <c r="J37" s="184"/>
      <c r="K37" s="184"/>
      <c r="L37" s="180"/>
      <c r="M37" s="180"/>
    </row>
    <row r="38" spans="1:13" ht="15.75" x14ac:dyDescent="0.25">
      <c r="B38" s="102"/>
      <c r="H38" s="2" t="s">
        <v>1</v>
      </c>
      <c r="I38" s="2" t="s">
        <v>6</v>
      </c>
      <c r="J38" s="182" t="s">
        <v>13</v>
      </c>
      <c r="K38" s="183"/>
      <c r="L38" s="180"/>
      <c r="M38" s="180"/>
    </row>
    <row r="39" spans="1:13" ht="15.75" x14ac:dyDescent="0.25">
      <c r="B39" s="102"/>
      <c r="H39" s="118"/>
      <c r="I39" s="58">
        <v>2100</v>
      </c>
      <c r="J39" s="255" t="s">
        <v>173</v>
      </c>
      <c r="K39" s="256"/>
      <c r="L39" s="18"/>
      <c r="M39" s="18"/>
    </row>
    <row r="40" spans="1:13" ht="15.75" x14ac:dyDescent="0.25">
      <c r="B40" s="102"/>
      <c r="G40" s="112"/>
      <c r="H40" s="118"/>
      <c r="I40" s="99">
        <v>81.900000000000006</v>
      </c>
      <c r="J40" s="255" t="s">
        <v>1711</v>
      </c>
      <c r="K40" s="256"/>
      <c r="L40" s="18"/>
      <c r="M40" s="18"/>
    </row>
    <row r="41" spans="1:13" ht="15.75" x14ac:dyDescent="0.25">
      <c r="B41" s="57"/>
      <c r="C41" s="102"/>
      <c r="H41" s="118">
        <v>44400</v>
      </c>
      <c r="I41" s="109">
        <v>57.59</v>
      </c>
      <c r="J41" s="255" t="s">
        <v>2398</v>
      </c>
      <c r="K41" s="256"/>
      <c r="L41" s="180"/>
      <c r="M41" s="180"/>
    </row>
    <row r="42" spans="1:13" ht="15.75" x14ac:dyDescent="0.25">
      <c r="A42" s="102"/>
      <c r="B42" s="57"/>
      <c r="C42" s="102"/>
      <c r="H42" s="118">
        <v>44623</v>
      </c>
      <c r="I42" s="97">
        <v>82.19</v>
      </c>
      <c r="J42" s="253" t="s">
        <v>2399</v>
      </c>
      <c r="K42" s="254"/>
      <c r="L42" s="100" t="s">
        <v>1754</v>
      </c>
      <c r="M42" s="102" t="e">
        <f ca="1">gfSumIfColor(I39:I66,gfCelColorName(L42))</f>
        <v>#NAME?</v>
      </c>
    </row>
    <row r="43" spans="1:13" ht="15.75" x14ac:dyDescent="0.25">
      <c r="C43" s="102"/>
      <c r="H43" s="118"/>
      <c r="I43" s="53"/>
      <c r="J43" s="253"/>
      <c r="K43" s="254"/>
      <c r="L43" s="110" t="s">
        <v>1759</v>
      </c>
      <c r="M43" s="102" t="e">
        <f ca="1">gfSumIfColor(I39:I66,gfCelColorName(L43))</f>
        <v>#NAME?</v>
      </c>
    </row>
    <row r="44" spans="1:13" ht="15.75" x14ac:dyDescent="0.25">
      <c r="C44" s="102"/>
      <c r="H44" s="118"/>
      <c r="I44" s="120"/>
      <c r="J44" s="253"/>
      <c r="K44" s="254"/>
      <c r="L44" s="111" t="s">
        <v>1760</v>
      </c>
      <c r="M44" s="113" t="e">
        <f ca="1">gfSumIfColor(I39:I66,gfCelColorName(L44))</f>
        <v>#NAME?</v>
      </c>
    </row>
    <row r="45" spans="1:13" ht="15.75" x14ac:dyDescent="0.25">
      <c r="C45" s="102"/>
      <c r="H45" s="118"/>
      <c r="I45" s="120"/>
      <c r="J45" s="253"/>
      <c r="K45" s="254"/>
    </row>
    <row r="46" spans="1:13" ht="15.75" x14ac:dyDescent="0.25">
      <c r="C46" s="102"/>
      <c r="H46" s="118"/>
      <c r="I46" s="53"/>
      <c r="J46" s="253"/>
      <c r="K46" s="254"/>
    </row>
    <row r="47" spans="1:13" ht="15.75" x14ac:dyDescent="0.25">
      <c r="C47" s="102"/>
      <c r="H47" s="118"/>
      <c r="I47" s="53"/>
      <c r="J47" s="253"/>
      <c r="K47" s="254"/>
    </row>
    <row r="48" spans="1:13" ht="15.75" x14ac:dyDescent="0.25">
      <c r="C48" s="102"/>
      <c r="H48" s="118"/>
      <c r="I48" s="53"/>
      <c r="J48" s="253"/>
      <c r="K48" s="254"/>
    </row>
    <row r="49" spans="3:11" ht="15.75" x14ac:dyDescent="0.25">
      <c r="C49" s="102"/>
      <c r="H49" s="118"/>
      <c r="I49" s="53"/>
      <c r="J49" s="253"/>
      <c r="K49" s="254"/>
    </row>
    <row r="50" spans="3:11" ht="15.75" x14ac:dyDescent="0.25">
      <c r="C50" s="102"/>
      <c r="H50" s="118"/>
      <c r="I50" s="53"/>
      <c r="J50" s="253"/>
      <c r="K50" s="254"/>
    </row>
    <row r="51" spans="3:11" ht="15.75" x14ac:dyDescent="0.25">
      <c r="C51" s="102"/>
      <c r="H51" s="118"/>
      <c r="I51" s="53"/>
      <c r="J51" s="253"/>
      <c r="K51" s="254"/>
    </row>
    <row r="52" spans="3:11" ht="15.75" x14ac:dyDescent="0.25">
      <c r="C52" s="102"/>
      <c r="H52" s="118"/>
      <c r="I52" s="120"/>
      <c r="J52" s="253"/>
      <c r="K52" s="254"/>
    </row>
    <row r="53" spans="3:11" ht="15.75" x14ac:dyDescent="0.25">
      <c r="C53" s="102"/>
      <c r="H53" s="118"/>
      <c r="I53" s="53"/>
      <c r="J53" s="253"/>
      <c r="K53" s="254"/>
    </row>
    <row r="54" spans="3:11" ht="15.75" x14ac:dyDescent="0.25">
      <c r="C54" s="102"/>
      <c r="H54" s="118"/>
      <c r="I54" s="53"/>
      <c r="J54" s="253"/>
      <c r="K54" s="254"/>
    </row>
    <row r="55" spans="3:11" ht="15.75" x14ac:dyDescent="0.25">
      <c r="C55" s="102"/>
      <c r="G55" s="112"/>
      <c r="H55" s="118"/>
      <c r="I55" s="53"/>
      <c r="J55" s="253"/>
      <c r="K55" s="254"/>
    </row>
    <row r="56" spans="3:11" ht="15.75" x14ac:dyDescent="0.25">
      <c r="H56" s="118"/>
      <c r="I56" s="53"/>
      <c r="J56" s="253"/>
      <c r="K56" s="254"/>
    </row>
    <row r="57" spans="3:11" ht="15.75" x14ac:dyDescent="0.25">
      <c r="H57" s="118"/>
      <c r="I57" s="53"/>
      <c r="J57" s="253"/>
      <c r="K57" s="254"/>
    </row>
    <row r="58" spans="3:11" ht="15.75" x14ac:dyDescent="0.25">
      <c r="H58" s="118"/>
      <c r="I58" s="53"/>
      <c r="J58" s="253"/>
      <c r="K58" s="254"/>
    </row>
    <row r="59" spans="3:11" ht="15.75" x14ac:dyDescent="0.25">
      <c r="H59" s="118"/>
      <c r="I59" s="53"/>
      <c r="J59" s="253"/>
      <c r="K59" s="254"/>
    </row>
    <row r="60" spans="3:11" ht="15.75" x14ac:dyDescent="0.25">
      <c r="H60" s="118"/>
      <c r="I60" s="53"/>
      <c r="J60" s="253"/>
      <c r="K60" s="254"/>
    </row>
    <row r="61" spans="3:11" ht="15.75" x14ac:dyDescent="0.25">
      <c r="H61" s="118"/>
      <c r="I61" s="53"/>
      <c r="J61" s="253"/>
      <c r="K61" s="254"/>
    </row>
    <row r="62" spans="3:11" ht="15.75" x14ac:dyDescent="0.25">
      <c r="H62" s="118"/>
      <c r="I62" s="53"/>
      <c r="J62" s="253"/>
      <c r="K62" s="254"/>
    </row>
    <row r="63" spans="3:11" ht="15.75" x14ac:dyDescent="0.25">
      <c r="H63" s="118"/>
      <c r="I63" s="53"/>
      <c r="J63" s="253"/>
      <c r="K63" s="254"/>
    </row>
    <row r="64" spans="3:11" ht="15.75" x14ac:dyDescent="0.25">
      <c r="H64" s="118"/>
      <c r="I64" s="53"/>
      <c r="J64" s="253"/>
      <c r="K64" s="254"/>
    </row>
    <row r="65" spans="8:11" ht="15.75" x14ac:dyDescent="0.25">
      <c r="H65" s="118"/>
      <c r="I65" s="53"/>
      <c r="J65" s="253"/>
      <c r="K65" s="254"/>
    </row>
    <row r="66" spans="8:11" ht="15.75" x14ac:dyDescent="0.25">
      <c r="H66" s="118"/>
      <c r="I66" s="53"/>
      <c r="J66" s="253"/>
      <c r="K66" s="254"/>
    </row>
    <row r="67" spans="8:11" ht="15.75" x14ac:dyDescent="0.25">
      <c r="H67" s="118"/>
      <c r="I67" s="53"/>
      <c r="J67" s="253"/>
      <c r="K67" s="254"/>
    </row>
    <row r="68" spans="8:11" ht="15.75" x14ac:dyDescent="0.25">
      <c r="H68" s="118"/>
      <c r="I68" s="53"/>
      <c r="J68" s="253"/>
      <c r="K68" s="254"/>
    </row>
    <row r="69" spans="8:11" ht="15.75" x14ac:dyDescent="0.25">
      <c r="H69" s="118"/>
      <c r="I69" s="53"/>
      <c r="J69" s="253"/>
      <c r="K69" s="254"/>
    </row>
    <row r="70" spans="8:11" x14ac:dyDescent="0.25">
      <c r="I70" s="57">
        <f>SUM(I39:I69)</f>
        <v>2321.6800000000003</v>
      </c>
    </row>
  </sheetData>
  <sheetProtection selectLockedCells="1" selectUnlockedCells="1"/>
  <mergeCells count="79">
    <mergeCell ref="J8:K8"/>
    <mergeCell ref="A1:B1"/>
    <mergeCell ref="D1:F1"/>
    <mergeCell ref="H1:M1"/>
    <mergeCell ref="A2:B2"/>
    <mergeCell ref="D2:F2"/>
    <mergeCell ref="J2:K2"/>
    <mergeCell ref="J3:K3"/>
    <mergeCell ref="J4:K4"/>
    <mergeCell ref="J5:K5"/>
    <mergeCell ref="J6:K6"/>
    <mergeCell ref="J7:K7"/>
    <mergeCell ref="D11:F11"/>
    <mergeCell ref="J19:K19"/>
    <mergeCell ref="J9:K9"/>
    <mergeCell ref="J10:K10"/>
    <mergeCell ref="J11:K11"/>
    <mergeCell ref="J12:K12"/>
    <mergeCell ref="J13:K13"/>
    <mergeCell ref="J14:K14"/>
    <mergeCell ref="D17:F17"/>
    <mergeCell ref="J25:K25"/>
    <mergeCell ref="J15:K15"/>
    <mergeCell ref="J16:K16"/>
    <mergeCell ref="A17:B17"/>
    <mergeCell ref="J17:K17"/>
    <mergeCell ref="J18:K18"/>
    <mergeCell ref="J20:K20"/>
    <mergeCell ref="J21:K21"/>
    <mergeCell ref="J22:K22"/>
    <mergeCell ref="J23:K23"/>
    <mergeCell ref="J24:K24"/>
    <mergeCell ref="H37:K37"/>
    <mergeCell ref="L37:M37"/>
    <mergeCell ref="J26:K26"/>
    <mergeCell ref="J27:K27"/>
    <mergeCell ref="J28:K28"/>
    <mergeCell ref="J29:K29"/>
    <mergeCell ref="I30:M30"/>
    <mergeCell ref="L31:M31"/>
    <mergeCell ref="J32:K32"/>
    <mergeCell ref="L32:M32"/>
    <mergeCell ref="J33:K33"/>
    <mergeCell ref="L33:M33"/>
    <mergeCell ref="L34:M34"/>
    <mergeCell ref="J38:K38"/>
    <mergeCell ref="L38:M38"/>
    <mergeCell ref="J39:K39"/>
    <mergeCell ref="J40:K40"/>
    <mergeCell ref="L41:M41"/>
    <mergeCell ref="J41:K41"/>
    <mergeCell ref="J42:K42"/>
    <mergeCell ref="J43:K43"/>
    <mergeCell ref="J44:K44"/>
    <mergeCell ref="J45:K45"/>
    <mergeCell ref="J57:K57"/>
    <mergeCell ref="J46:K46"/>
    <mergeCell ref="J47:K47"/>
    <mergeCell ref="J48:K48"/>
    <mergeCell ref="J49:K49"/>
    <mergeCell ref="J50:K50"/>
    <mergeCell ref="J51:K51"/>
    <mergeCell ref="J52:K52"/>
    <mergeCell ref="J53:K53"/>
    <mergeCell ref="J54:K54"/>
    <mergeCell ref="J55:K55"/>
    <mergeCell ref="J56:K56"/>
    <mergeCell ref="J69:K69"/>
    <mergeCell ref="J58:K58"/>
    <mergeCell ref="J59:K59"/>
    <mergeCell ref="J60:K60"/>
    <mergeCell ref="J61:K61"/>
    <mergeCell ref="J62:K62"/>
    <mergeCell ref="J63:K63"/>
    <mergeCell ref="J64:K64"/>
    <mergeCell ref="J65:K65"/>
    <mergeCell ref="J66:K66"/>
    <mergeCell ref="J67:K67"/>
    <mergeCell ref="J68:K6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76</vt:i4>
      </vt:variant>
      <vt:variant>
        <vt:lpstr>Intervalos Nomeados</vt:lpstr>
      </vt:variant>
      <vt:variant>
        <vt:i4>1</vt:i4>
      </vt:variant>
    </vt:vector>
  </HeadingPairs>
  <TitlesOfParts>
    <vt:vector size="77" baseType="lpstr">
      <vt:lpstr>MARÇO-16</vt:lpstr>
      <vt:lpstr>ABRIL-16</vt:lpstr>
      <vt:lpstr>MAIO-16</vt:lpstr>
      <vt:lpstr>JUNHO-16</vt:lpstr>
      <vt:lpstr>Julho-16</vt:lpstr>
      <vt:lpstr>Agosto-16</vt:lpstr>
      <vt:lpstr>Setembro-16</vt:lpstr>
      <vt:lpstr>Outubro-16</vt:lpstr>
      <vt:lpstr>Novembro-16</vt:lpstr>
      <vt:lpstr>Dezembro-16</vt:lpstr>
      <vt:lpstr>Janeiro-17</vt:lpstr>
      <vt:lpstr>Fevereiro-17</vt:lpstr>
      <vt:lpstr>Março-17</vt:lpstr>
      <vt:lpstr>Abril-17</vt:lpstr>
      <vt:lpstr>Maio-17</vt:lpstr>
      <vt:lpstr>Junho-17</vt:lpstr>
      <vt:lpstr>Julho-17</vt:lpstr>
      <vt:lpstr>Agosto-17</vt:lpstr>
      <vt:lpstr>Setembro-17</vt:lpstr>
      <vt:lpstr>Outubro-17</vt:lpstr>
      <vt:lpstr>Novembro-17</vt:lpstr>
      <vt:lpstr>Dezembro-17</vt:lpstr>
      <vt:lpstr>Janeiro-18</vt:lpstr>
      <vt:lpstr>Fevereiro-18</vt:lpstr>
      <vt:lpstr>Março-18</vt:lpstr>
      <vt:lpstr>Abril-18</vt:lpstr>
      <vt:lpstr>Maio-18</vt:lpstr>
      <vt:lpstr>Junho-18</vt:lpstr>
      <vt:lpstr>Julho-18</vt:lpstr>
      <vt:lpstr>Agosto-18</vt:lpstr>
      <vt:lpstr>Setembro-18</vt:lpstr>
      <vt:lpstr>Outubro-18</vt:lpstr>
      <vt:lpstr>Novembro-18</vt:lpstr>
      <vt:lpstr>Dezembro-18</vt:lpstr>
      <vt:lpstr>Janeiro-19</vt:lpstr>
      <vt:lpstr>Fevereiro-19</vt:lpstr>
      <vt:lpstr>Março-19</vt:lpstr>
      <vt:lpstr>Abril-19</vt:lpstr>
      <vt:lpstr>Maio-19</vt:lpstr>
      <vt:lpstr>Junho-19</vt:lpstr>
      <vt:lpstr>Julho-19</vt:lpstr>
      <vt:lpstr>Agosto-19</vt:lpstr>
      <vt:lpstr>Setembro-19</vt:lpstr>
      <vt:lpstr>Outubro-19</vt:lpstr>
      <vt:lpstr>Novembro-19</vt:lpstr>
      <vt:lpstr>Dezembro-19</vt:lpstr>
      <vt:lpstr>Janeiro-20</vt:lpstr>
      <vt:lpstr>Fevereiro-20</vt:lpstr>
      <vt:lpstr>Março-20</vt:lpstr>
      <vt:lpstr>Abril-20</vt:lpstr>
      <vt:lpstr>Maio-20</vt:lpstr>
      <vt:lpstr>Junho-20</vt:lpstr>
      <vt:lpstr>Julho-20</vt:lpstr>
      <vt:lpstr>Agosto-20</vt:lpstr>
      <vt:lpstr>Setembro-20</vt:lpstr>
      <vt:lpstr>Outubro-20</vt:lpstr>
      <vt:lpstr>Novembro-20</vt:lpstr>
      <vt:lpstr>Dezembro-20</vt:lpstr>
      <vt:lpstr>Janeiro-21</vt:lpstr>
      <vt:lpstr>Fevereiro-21</vt:lpstr>
      <vt:lpstr>Março-21</vt:lpstr>
      <vt:lpstr>Abril-21</vt:lpstr>
      <vt:lpstr>Maio-21</vt:lpstr>
      <vt:lpstr>Junho-21</vt:lpstr>
      <vt:lpstr>Julho-21</vt:lpstr>
      <vt:lpstr>Agosto-21</vt:lpstr>
      <vt:lpstr>Setembro-21</vt:lpstr>
      <vt:lpstr>Outubro-21</vt:lpstr>
      <vt:lpstr>Novembro-21</vt:lpstr>
      <vt:lpstr>Dezembro-21</vt:lpstr>
      <vt:lpstr>Janeiro-22</vt:lpstr>
      <vt:lpstr>Fevereiro-22</vt:lpstr>
      <vt:lpstr>Março-22</vt:lpstr>
      <vt:lpstr>Abril-22</vt:lpstr>
      <vt:lpstr>Maio-22</vt:lpstr>
      <vt:lpstr>Junho-22</vt:lpstr>
      <vt:lpstr>'MARÇO-16'!Area_de_impressao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Rebeca</dc:creator>
  <cp:lastModifiedBy>João  Dias</cp:lastModifiedBy>
  <cp:lastPrinted>2021-04-13T11:38:59Z</cp:lastPrinted>
  <dcterms:created xsi:type="dcterms:W3CDTF">2016-03-24T13:07:43Z</dcterms:created>
  <dcterms:modified xsi:type="dcterms:W3CDTF">2023-02-25T15:55:47Z</dcterms:modified>
</cp:coreProperties>
</file>